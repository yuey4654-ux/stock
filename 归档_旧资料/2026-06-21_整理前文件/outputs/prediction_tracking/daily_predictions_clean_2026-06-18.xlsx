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f03aefea904f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_predictions" sheetId="1" r:id="R99fd0f3ab01a44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0.0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2" fillId="2" borderId="1" xfId="0" applyNumberFormat="1" applyFont="1" applyFill="1" applyBorder="1"/>
    <x:xf numFmtId="0" fontId="3" fillId="0" borderId="1" xfId="0" applyNumberFormat="1" applyFont="1" applyFill="1" applyBorder="1"/>
    <x:xf numFmtId="200" fontId="3" fillId="0" borderId="1" xfId="0" applyNumberFormat="1" applyFont="1" applyFill="1" applyBorder="1"/>
    <x:xf numFmtId="201" fontId="3" fillId="0" borderId="1" xfId="0" applyNumberFormat="1" applyFont="1" applyFill="1" applyBorder="1"/>
    <x:xf numFmtId="202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top"/>
    </x:xf>
    <x:xf numFmtId="200" fontId="3" fillId="0" borderId="1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/>
    </x:xf>
    <x:xf numFmtId="202" fontId="3" fillId="0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horizontal="center" vertical="top"/>
    </x:xf>
    <x:xf numFmtId="201" fontId="3" fillId="0" borderId="1" xfId="0" applyNumberFormat="1" applyFont="1" applyFill="1" applyBorder="1" applyAlignment="1">
      <x:alignment horizontal="right" vertical="top"/>
    </x:xf>
    <x:xf numFmtId="202" fontId="3" fillId="0" borderId="1" xfId="0" applyNumberFormat="1" applyFont="1" applyFill="1" applyBorder="1" applyAlignment="1">
      <x:alignment horizontal="right" vertical="top"/>
    </x:xf>
    <x:xf numFmtId="0" fontId="3" fillId="0" borderId="1" xfId="0" applyNumberFormat="1" applyFont="1" applyFill="1" applyBorder="1" applyAlignment="1">
      <x:alignment horizontal="center" vertical="top"/>
    </x:xf>
  </x:cellXfs>
  <x:cellStyles count="1">
    <x:cellStyle name="Normal" xfId="0"/>
  </x:cellStyles>
  <x:dxfs count="3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01108f568e49ca" /><Relationship Type="http://schemas.openxmlformats.org/officeDocument/2006/relationships/theme" Target="/xl/theme/theme1.xml" Id="Rca530a40f2de4b47" /><Relationship Type="http://schemas.openxmlformats.org/officeDocument/2006/relationships/sharedStrings" Target="/xl/sharedStrings.xml" Id="R3c94ca7a1ed14bf1" /><Relationship Type="http://schemas.openxmlformats.org/officeDocument/2006/relationships/worksheet" Target="/xl/worksheets/sheet1.xml" Id="R99fd0f3ab01a4453" /></Relationships>
</file>

<file path=xl/tables/table1.xml><?xml version="1.0" encoding="utf-8"?>
<x:table xmlns:x="http://schemas.openxmlformats.org/spreadsheetml/2006/main" id="1" name="DailyPredictionsTable" displayName="DailyPredictionsTable" ref="A1:P45" headerRowCount="1">
  <x:tableColumns count="16">
    <x:tableColumn id="1" name="prediction_date"/>
    <x:tableColumn id="2" name="target_date"/>
    <x:tableColumn id="3" name="rank"/>
    <x:tableColumn id="4" name="ticker"/>
    <x:tableColumn id="5" name="name"/>
    <x:tableColumn id="6" name="market"/>
    <x:tableColumn id="7" name="prediction_type"/>
    <x:tableColumn id="8" name="thesis"/>
    <x:tableColumn id="9" name="trigger_condition"/>
    <x:tableColumn id="10" name="invalidation_condition"/>
    <x:tableColumn id="11" name="close_price"/>
    <x:tableColumn id="12" name="change_pct"/>
    <x:tableColumn id="13" name="triggered"/>
    <x:tableColumn id="14" name="invalidated"/>
    <x:tableColumn id="15" name="result"/>
    <x:tableColumn id="16" name="revie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3eeac704ed4850" /></Relationships>
</file>

<file path=xl/worksheets/sheet1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11.880000114440918" hidden="0" customWidth="1"/>
    <x:col min="3" max="3" width="6.25" hidden="0" customWidth="1"/>
    <x:col min="4" max="4" width="11.25" hidden="0" customWidth="1"/>
    <x:col min="5" max="5" width="15" hidden="0" customWidth="1"/>
    <x:col min="6" max="6" width="8.75" hidden="0" customWidth="1"/>
    <x:col min="7" max="7" width="11.880000114440918" hidden="0" customWidth="1"/>
    <x:col min="8" max="8" width="32.5" hidden="0" customWidth="1"/>
    <x:col min="9" max="9" width="32.5" hidden="0" customWidth="1"/>
    <x:col min="10" max="10" width="30" hidden="0" customWidth="1"/>
    <x:col min="11" max="11" width="10.630000114440918" hidden="0" customWidth="1"/>
    <x:col min="12" max="12" width="10.630000114440918" hidden="0" customWidth="1"/>
    <x:col min="13" max="13" width="8.75" hidden="0" customWidth="1"/>
    <x:col min="14" max="14" width="8.75" hidden="0" customWidth="1"/>
    <x:col min="15" max="15" width="11.25" hidden="0" customWidth="1"/>
    <x:col min="16" max="16" width="52.5" hidden="0" customWidth="1"/>
  </x:cols>
  <x:sheetData>
    <x:row r="1">
      <x:c r="A1" s="17" t="str">
        <x:v>prediction_date</x:v>
      </x:c>
      <x:c r="B1" s="17" t="str">
        <x:v>target_date</x:v>
      </x:c>
      <x:c r="C1" s="17" t="str">
        <x:v>rank</x:v>
      </x:c>
      <x:c r="D1" s="17" t="str">
        <x:v>ticker</x:v>
      </x:c>
      <x:c r="E1" s="17" t="str">
        <x:v>name</x:v>
      </x:c>
      <x:c r="F1" s="17" t="str">
        <x:v>market</x:v>
      </x:c>
      <x:c r="G1" s="17" t="str">
        <x:v>prediction_type</x:v>
      </x:c>
      <x:c r="H1" s="17" t="str">
        <x:v>thesis</x:v>
      </x:c>
      <x:c r="I1" s="17" t="str">
        <x:v>trigger_condition</x:v>
      </x:c>
      <x:c r="J1" s="17" t="str">
        <x:v>invalidation_condition</x:v>
      </x:c>
      <x:c r="K1" s="17" t="str">
        <x:v>close_price</x:v>
      </x:c>
      <x:c r="L1" s="17" t="str">
        <x:v>change_pct</x:v>
      </x:c>
      <x:c r="M1" s="17" t="str">
        <x:v>triggered</x:v>
      </x:c>
      <x:c r="N1" s="17" t="str">
        <x:v>invalidated</x:v>
      </x:c>
      <x:c r="O1" s="17" t="str">
        <x:v>result</x:v>
      </x:c>
      <x:c r="P1" s="17" t="str">
        <x:v>review_note</x:v>
      </x:c>
    </x:row>
    <x:row r="2">
      <x:c r="A2" s="12" t="str">
        <x:v>2026/6/14</x:v>
      </x:c>
      <x:c r="B2" s="12" t="str">
        <x:v>2026/6/15</x:v>
      </x:c>
      <x:c r="C2" s="13" t="n">
        <x:v>1</x:v>
      </x:c>
      <x:c r="D2" s="12" t="str">
        <x:f>TEXT(2050,"000000")</x:f>
        <x:v>002050</x:v>
      </x:c>
      <x:c r="E2" s="13" t="str">
        <x:v>三花智控</x:v>
      </x:c>
      <x:c r="F2" s="13" t="str">
        <x:v>A股</x:v>
      </x:c>
      <x:c r="G2" s="13" t="str">
        <x:v>核心承接</x:v>
      </x:c>
      <x:c r="H2" s="14" t="str">
        <x:v>机器人/热管理主线，观察回踩不破后转强</x:v>
      </x:c>
      <x:c r="I2" s="14" t="str">
        <x:v>回踩不破并重新站稳短线均线</x:v>
      </x:c>
      <x:c r="J2" s="14" t="str">
        <x:v>跌破短线支撑并放量转弱</x:v>
      </x:c>
      <x:c r="K2" s="18" t="n">
        <x:v>45.75</x:v>
      </x:c>
      <x:c r="L2" s="19" t="n">
        <x:v>0.021</x:v>
      </x:c>
      <x:c r="M2" s="20" t="str">
        <x:v>是</x:v>
      </x:c>
      <x:c r="N2" s="20" t="str">
        <x:v>否</x:v>
      </x:c>
      <x:c r="O2" s="20" t="str">
        <x:v>命中</x:v>
      </x:c>
      <x:c r="P2" s="14" t="str">
        <x:v>根据复盘报告重建。趋势维持强势，符合第一梯队观察预期。</x:v>
      </x:c>
    </x:row>
    <x:row r="3">
      <x:c r="A3" s="12" t="str">
        <x:v>2026/6/14</x:v>
      </x:c>
      <x:c r="B3" s="12" t="str">
        <x:v>2026/6/15</x:v>
      </x:c>
      <x:c r="C3" s="13" t="n">
        <x:v>2</x:v>
      </x:c>
      <x:c r="D3" s="12" t="str">
        <x:f>TEXT(300316,"000000")</x:f>
        <x:v>300316</x:v>
      </x:c>
      <x:c r="E3" s="13" t="str">
        <x:v>晶盛机电</x:v>
      </x:c>
      <x:c r="F3" s="13" t="str">
        <x:v>A股</x:v>
      </x:c>
      <x:c r="G3" s="13" t="str">
        <x:v>核心承接</x:v>
      </x:c>
      <x:c r="H3" s="14" t="str">
        <x:v>高端制造/半导体设备方向，观察强势结构能否延续</x:v>
      </x:c>
      <x:c r="I3" s="14" t="str">
        <x:v>维持强趋势结构并转强</x:v>
      </x:c>
      <x:c r="J3" s="14" t="str">
        <x:v>高位震荡后跌破短线平台</x:v>
      </x:c>
      <x:c r="K3" s="18" t="n">
        <x:v>52.15</x:v>
      </x:c>
      <x:c r="L3" s="19" t="n">
        <x:v>0.10769999999999999</x:v>
      </x:c>
      <x:c r="M3" s="20" t="str">
        <x:v>是</x:v>
      </x:c>
      <x:c r="N3" s="20" t="str">
        <x:v>否</x:v>
      </x:c>
      <x:c r="O3" s="20" t="str">
        <x:v>命中</x:v>
      </x:c>
      <x:c r="P3" s="14" t="str">
        <x:v>根据复盘报告重建。明显转强，超预期命中。</x:v>
      </x:c>
    </x:row>
    <x:row r="4">
      <x:c r="A4" s="12" t="str">
        <x:v>2026/6/14</x:v>
      </x:c>
      <x:c r="B4" s="12" t="str">
        <x:v>2026/6/15</x:v>
      </x:c>
      <x:c r="C4" s="13" t="n">
        <x:v>3</x:v>
      </x:c>
      <x:c r="D4" s="12" t="str">
        <x:f>TEXT(2149,"000000")</x:f>
        <x:v>002149</x:v>
      </x:c>
      <x:c r="E4" s="13" t="str">
        <x:v>西部材料</x:v>
      </x:c>
      <x:c r="F4" s="13" t="str">
        <x:v>A股</x:v>
      </x:c>
      <x:c r="G4" s="13" t="str">
        <x:v>弹性进攻</x:v>
      </x:c>
      <x:c r="H4" s="14" t="str">
        <x:v>材料方向轮动映射，观察是否放量站稳平台</x:v>
      </x:c>
      <x:c r="I4" s="14" t="str">
        <x:v>放量站稳并形成平台确认</x:v>
      </x:c>
      <x:c r="J4" s="14" t="str">
        <x:v>冲高回落且未站稳平台</x:v>
      </x:c>
      <x:c r="K4" s="18" t="n">
        <x:v>59.8</x:v>
      </x:c>
      <x:c r="L4" s="19" t="n">
        <x:v>0</x:v>
      </x:c>
      <x:c r="M4" s="20" t="str">
        <x:v>是</x:v>
      </x:c>
      <x:c r="N4" s="20" t="str">
        <x:v>否</x:v>
      </x:c>
      <x:c r="O4" s="20" t="str">
        <x:v>部分命中</x:v>
      </x:c>
      <x:c r="P4" s="14" t="str">
        <x:v>根据复盘报告重建。方向有表现但平台确认不足。</x:v>
      </x:c>
    </x:row>
    <x:row r="5">
      <x:c r="A5" s="12" t="str">
        <x:v>2026/6/14</x:v>
      </x:c>
      <x:c r="B5" s="12" t="str">
        <x:v>2026/6/15</x:v>
      </x:c>
      <x:c r="C5" s="13" t="n">
        <x:v>4</x:v>
      </x:c>
      <x:c r="D5" s="12" t="str">
        <x:f>"0981.HK"</x:f>
        <x:v>0981.HK</x:v>
      </x:c>
      <x:c r="E5" s="13" t="str">
        <x:v>中芯国际</x:v>
      </x:c>
      <x:c r="F5" s="13" t="str">
        <x:v>港股</x:v>
      </x:c>
      <x:c r="G5" s="13" t="str">
        <x:v>核心承接</x:v>
      </x:c>
      <x:c r="H5" s="14" t="str">
        <x:v>港股半导体主线，观察是否继续站稳短线平台</x:v>
      </x:c>
      <x:c r="I5" s="14" t="str">
        <x:v>站稳短线平台且强于同类</x:v>
      </x:c>
      <x:c r="J5" s="14" t="str">
        <x:v>跌破短线平台下方</x:v>
      </x:c>
      <x:c r="K5" s="18" t="n">
        <x:v>76.65</x:v>
      </x:c>
      <x:c r="L5" s="19" t="n">
        <x:v>0.0698</x:v>
      </x:c>
      <x:c r="M5" s="20" t="str">
        <x:v>是</x:v>
      </x:c>
      <x:c r="N5" s="20" t="str">
        <x:v>否</x:v>
      </x:c>
      <x:c r="O5" s="20" t="str">
        <x:v>命中</x:v>
      </x:c>
      <x:c r="P5" s="14" t="str">
        <x:v>根据复盘报告重建。港股半导体主线兑现，第一梯队命中。</x:v>
      </x:c>
    </x:row>
    <x:row r="6">
      <x:c r="A6" s="12" t="str">
        <x:v>2026/6/14</x:v>
      </x:c>
      <x:c r="B6" s="12" t="str">
        <x:v>2026/6/15</x:v>
      </x:c>
      <x:c r="C6" s="13" t="n">
        <x:v>5</x:v>
      </x:c>
      <x:c r="D6" s="12" t="str">
        <x:f>"1810.HK"</x:f>
        <x:v>1810.HK</x:v>
      </x:c>
      <x:c r="E6" s="13" t="str">
        <x:v>小米集团-W</x:v>
      </x:c>
      <x:c r="F6" s="13" t="str">
        <x:v>港股</x:v>
      </x:c>
      <x:c r="G6" s="13" t="str">
        <x:v>稳健观察</x:v>
      </x:c>
      <x:c r="H6" s="14" t="str">
        <x:v>AI终端/智能硬件方向，观察是否走强</x:v>
      </x:c>
      <x:c r="I6" s="14" t="str">
        <x:v>继续放量且强于恒指</x:v>
      </x:c>
      <x:c r="J6" s="14" t="str">
        <x:v>冲高回落且弱于港股科技</x:v>
      </x:c>
      <x:c r="K6" s="18" t="n">
        <x:v>26.26</x:v>
      </x:c>
      <x:c r="L6" s="19" t="n">
        <x:v>0.0023</x:v>
      </x:c>
      <x:c r="M6" s="20" t="str">
        <x:v>否</x:v>
      </x:c>
      <x:c r="N6" s="20" t="str">
        <x:v>否</x:v>
      </x:c>
      <x:c r="O6" s="20" t="str">
        <x:v>未命中</x:v>
      </x:c>
      <x:c r="P6" s="14" t="str">
        <x:v>根据复盘报告重建。未体现主线强度，降为观察。</x:v>
      </x:c>
    </x:row>
    <x:row r="7">
      <x:c r="A7" s="12" t="str">
        <x:v>2026/6/14</x:v>
      </x:c>
      <x:c r="B7" s="12" t="str">
        <x:v>2026/6/15</x:v>
      </x:c>
      <x:c r="C7" s="13" t="n">
        <x:v>6</x:v>
      </x:c>
      <x:c r="D7" s="12" t="str">
        <x:f>TEXT(2709,"000000")</x:f>
        <x:v>002709</x:v>
      </x:c>
      <x:c r="E7" s="13" t="str">
        <x:v>天赐材料</x:v>
      </x:c>
      <x:c r="F7" s="13" t="str">
        <x:v>A股</x:v>
      </x:c>
      <x:c r="G7" s="13" t="str">
        <x:v>轮动备选</x:v>
      </x:c>
      <x:c r="H7" s="14" t="str">
        <x:v>新能源材料轮动备选，观察是否出现资金回流</x:v>
      </x:c>
      <x:c r="I7" s="14" t="str">
        <x:v>放量修复并转强</x:v>
      </x:c>
      <x:c r="J7" s="14" t="str">
        <x:v>继续弱于市场且未修复关键位</x:v>
      </x:c>
      <x:c r="K7" s="18" t="n">
        <x:v>49.02</x:v>
      </x:c>
      <x:c r="L7" s="19" t="n">
        <x:v>-0.0125</x:v>
      </x:c>
      <x:c r="M7" s="20" t="str">
        <x:v>否</x:v>
      </x:c>
      <x:c r="N7" s="20" t="str">
        <x:v>否</x:v>
      </x:c>
      <x:c r="O7" s="20" t="str">
        <x:v>未命中</x:v>
      </x:c>
      <x:c r="P7" s="14" t="str">
        <x:v>根据复盘报告重建。新能源轮动未出现，暂不进执行前排。</x:v>
      </x:c>
    </x:row>
    <x:row r="8">
      <x:c r="A8" s="12" t="str">
        <x:v>2026/6/14</x:v>
      </x:c>
      <x:c r="B8" s="12" t="str">
        <x:v>2026/6/15</x:v>
      </x:c>
      <x:c r="C8" s="13" t="n">
        <x:v>7</x:v>
      </x:c>
      <x:c r="D8" s="12" t="str">
        <x:f>TEXT(603662,"000000")</x:f>
        <x:v>603662</x:v>
      </x:c>
      <x:c r="E8" s="13" t="str">
        <x:v>柯力传感</x:v>
      </x:c>
      <x:c r="F8" s="13" t="str">
        <x:v>A股</x:v>
      </x:c>
      <x:c r="G8" s="13" t="str">
        <x:v>稳健观察</x:v>
      </x:c>
      <x:c r="H8" s="14" t="str">
        <x:v>机器人传感器方向，观察能否稳定承接</x:v>
      </x:c>
      <x:c r="I8" s="14" t="str">
        <x:v>放量承接且强于机器人链</x:v>
      </x:c>
      <x:c r="J8" s="14" t="str">
        <x:v>冲高回落或弱于机器人链</x:v>
      </x:c>
      <x:c r="K8" s="18" t="n">
        <x:v>66.6</x:v>
      </x:c>
      <x:c r="L8" s="19" t="n">
        <x:v>0.0351</x:v>
      </x:c>
      <x:c r="M8" s="20" t="str">
        <x:v>是</x:v>
      </x:c>
      <x:c r="N8" s="20" t="str">
        <x:v>否</x:v>
      </x:c>
      <x:c r="O8" s="20" t="str">
        <x:v>命中</x:v>
      </x:c>
      <x:c r="P8" s="14" t="str">
        <x:v>根据复盘报告重建。承接有效，适合作为跟踪样本。</x:v>
      </x:c>
    </x:row>
    <x:row r="9">
      <x:c r="A9" s="12" t="str">
        <x:v>2026/6/14</x:v>
      </x:c>
      <x:c r="B9" s="12" t="str">
        <x:v>2026/6/15</x:v>
      </x:c>
      <x:c r="C9" s="13" t="n">
        <x:v>8</x:v>
      </x:c>
      <x:c r="D9" s="12" t="str">
        <x:f>TEXT(547,"000000")</x:f>
        <x:v>000547</x:v>
      </x:c>
      <x:c r="E9" s="13" t="str">
        <x:v>航天发展</x:v>
      </x:c>
      <x:c r="F9" s="13" t="str">
        <x:v>A股</x:v>
      </x:c>
      <x:c r="G9" s="13" t="str">
        <x:v>题材进攻</x:v>
      </x:c>
      <x:c r="H9" s="14" t="str">
        <x:v>军工/商业航天题材，观察情绪延续</x:v>
      </x:c>
      <x:c r="I9" s="14" t="str">
        <x:v>情绪延续且板块配合</x:v>
      </x:c>
      <x:c r="J9" s="14" t="str">
        <x:v>不能转强或跌回关键位</x:v>
      </x:c>
      <x:c r="K9" s="18" t="n">
        <x:v>19.92</x:v>
      </x:c>
      <x:c r="L9" s="19" t="n">
        <x:v>-0.0354</x:v>
      </x:c>
      <x:c r="M9" s="20" t="str">
        <x:v>否</x:v>
      </x:c>
      <x:c r="N9" s="20" t="str">
        <x:v>是</x:v>
      </x:c>
      <x:c r="O9" s="20" t="str">
        <x:v>未命中</x:v>
      </x:c>
      <x:c r="P9" s="14" t="str">
        <x:v>根据复盘报告重建。题材冲高风险兑现，未形成有效进攻。</x:v>
      </x:c>
    </x:row>
    <x:row r="10">
      <x:c r="A10" s="12" t="str">
        <x:v>2026/6/14</x:v>
      </x:c>
      <x:c r="B10" s="12" t="str">
        <x:v>2026/6/15</x:v>
      </x:c>
      <x:c r="C10" s="13" t="n">
        <x:v>9</x:v>
      </x:c>
      <x:c r="D10" s="12" t="str">
        <x:f>"9880.HK"</x:f>
        <x:v>9880.HK</x:v>
      </x:c>
      <x:c r="E10" s="13" t="str">
        <x:v>优必选</x:v>
      </x:c>
      <x:c r="F10" s="13" t="str">
        <x:v>港股</x:v>
      </x:c>
      <x:c r="G10" s="13" t="str">
        <x:v>弹性观察</x:v>
      </x:c>
      <x:c r="H10" s="14" t="str">
        <x:v>机器人高弹性方向，观察是否继续发酵</x:v>
      </x:c>
      <x:c r="I10" s="14" t="str">
        <x:v>高弹性方向发酵且强于恒指</x:v>
      </x:c>
      <x:c r="J10" s="14" t="str">
        <x:v>冲高回落或跌破短线支撑</x:v>
      </x:c>
      <x:c r="K10" s="18" t="n">
        <x:v>113.5</x:v>
      </x:c>
      <x:c r="L10" s="19" t="n">
        <x:v>0.06269999999999999</x:v>
      </x:c>
      <x:c r="M10" s="20" t="str">
        <x:v>是</x:v>
      </x:c>
      <x:c r="N10" s="20" t="str">
        <x:v>否</x:v>
      </x:c>
      <x:c r="O10" s="20" t="str">
        <x:v>命中</x:v>
      </x:c>
      <x:c r="P10" s="14" t="str">
        <x:v>根据复盘报告重建。高弹性兑现，命中。</x:v>
      </x:c>
    </x:row>
    <x:row r="11">
      <x:c r="A11" s="12" t="str">
        <x:v>2026/6/14</x:v>
      </x:c>
      <x:c r="B11" s="12" t="str">
        <x:v>2026/6/15</x:v>
      </x:c>
      <x:c r="C11" s="13" t="n">
        <x:v>10</x:v>
      </x:c>
      <x:c r="D11" s="12" t="str">
        <x:f>"9660.HK"</x:f>
        <x:v>9660.HK</x:v>
      </x:c>
      <x:c r="E11" s="13" t="str">
        <x:v>地平线机器人-W</x:v>
      </x:c>
      <x:c r="F11" s="13" t="str">
        <x:v>港股</x:v>
      </x:c>
      <x:c r="G11" s="13" t="str">
        <x:v>弹性观察</x:v>
      </x:c>
      <x:c r="H11" s="14" t="str">
        <x:v>AI/机器人高弹性观察，验证是否跟随主线</x:v>
      </x:c>
      <x:c r="I11" s="14" t="str">
        <x:v>强于恒指并出现短线承接</x:v>
      </x:c>
      <x:c r="J11" s="14" t="str">
        <x:v>跌破短线支撑</x:v>
      </x:c>
      <x:c r="K11" s="18" t="n">
        <x:v>4.65</x:v>
      </x:c>
      <x:c r="L11" s="19" t="n">
        <x:v>-0.0106</x:v>
      </x:c>
      <x:c r="M11" s="20" t="str">
        <x:v>否</x:v>
      </x:c>
      <x:c r="N11" s="20" t="str">
        <x:v>否</x:v>
      </x:c>
      <x:c r="O11" s="20" t="str">
        <x:v>未命中</x:v>
      </x:c>
      <x:c r="P11" s="14" t="str">
        <x:v>根据复盘报告重建。没有体现AI/机器人弹性，暂不纳入执行。</x:v>
      </x:c>
    </x:row>
    <x:row r="12">
      <x:c r="A12" s="12" t="str">
        <x:v>2026/6/14</x:v>
      </x:c>
      <x:c r="B12" s="12" t="str">
        <x:v>2026/6/15</x:v>
      </x:c>
      <x:c r="C12" s="13" t="n">
        <x:v>11</x:v>
      </x:c>
      <x:c r="D12" s="12" t="str">
        <x:f>"2432.HK"</x:f>
        <x:v>2432.HK</x:v>
      </x:c>
      <x:c r="E12" s="13" t="str">
        <x:v>越疆</x:v>
      </x:c>
      <x:c r="F12" s="13" t="str">
        <x:v>港股</x:v>
      </x:c>
      <x:c r="G12" s="13" t="str">
        <x:v>弹性观察</x:v>
      </x:c>
      <x:c r="H12" s="14" t="str">
        <x:v>机器人高弹性观察，验证是否有短线共振</x:v>
      </x:c>
      <x:c r="I12" s="14" t="str">
        <x:v>强于恒指并有承接</x:v>
      </x:c>
      <x:c r="J12" s="14" t="str">
        <x:v>冲高回落或弱于机器人链</x:v>
      </x:c>
      <x:c r="K12" s="18" t="n">
        <x:v>28.34</x:v>
      </x:c>
      <x:c r="L12" s="19" t="n">
        <x:v>0.0165</x:v>
      </x:c>
      <x:c r="M12" s="20" t="str">
        <x:v>是</x:v>
      </x:c>
      <x:c r="N12" s="20" t="str">
        <x:v>否</x:v>
      </x:c>
      <x:c r="O12" s="20" t="str">
        <x:v>部分命中</x:v>
      </x:c>
      <x:c r="P12" s="14" t="str">
        <x:v>根据复盘报告重建。小幅修复但强度一般。</x:v>
      </x:c>
    </x:row>
    <x:row r="13">
      <x:c r="A13" s="12" t="str">
        <x:v>2026/6/15</x:v>
      </x:c>
      <x:c r="B13" s="12" t="str">
        <x:v>2026/6/16</x:v>
      </x:c>
      <x:c r="C13" s="13" t="n">
        <x:v>1</x:v>
      </x:c>
      <x:c r="D13" s="12" t="str">
        <x:f>TEXT(300316,"000000")</x:f>
        <x:v>300316</x:v>
      </x:c>
      <x:c r="E13" s="13" t="str">
        <x:v>晶盛机电</x:v>
      </x:c>
      <x:c r="F13" s="13" t="str">
        <x:v>A股</x:v>
      </x:c>
      <x:c r="G13" s="13" t="str">
        <x:v>核心承接</x:v>
      </x:c>
      <x:c r="H13" s="14" t="str">
        <x:v>强势上涨后看次日承接，避免追高</x:v>
      </x:c>
      <x:c r="I13" s="14" t="str">
        <x:v>回踩不破并维持强势平台</x:v>
      </x:c>
      <x:c r="J13" s="14" t="str">
        <x:v>高开回落且跌破短线承接位</x:v>
      </x:c>
      <x:c r="K13" s="18" t="n">
        <x:v>51.69</x:v>
      </x:c>
      <x:c r="L13" s="19" t="n">
        <x:v>-0.0088</x:v>
      </x:c>
      <x:c r="M13" s="20" t="str">
        <x:v>是</x:v>
      </x:c>
      <x:c r="N13" s="20" t="str">
        <x:v>否</x:v>
      </x:c>
      <x:c r="O13" s="20" t="str">
        <x:v>部分命中</x:v>
      </x:c>
      <x:c r="P13" s="14" t="str">
        <x:v>收盘51.69，较前日-0.88%，未转成收盘上涨，但仍守在强势平台附近，承接有但强度不足。</x:v>
      </x:c>
    </x:row>
    <x:row r="14">
      <x:c r="A14" s="12" t="str">
        <x:v>2026/6/15</x:v>
      </x:c>
      <x:c r="B14" s="12" t="str">
        <x:v>2026/6/16</x:v>
      </x:c>
      <x:c r="C14" s="13" t="n">
        <x:v>2</x:v>
      </x:c>
      <x:c r="D14" s="12" t="str">
        <x:f>"0981.HK"</x:f>
        <x:v>0981.HK</x:v>
      </x:c>
      <x:c r="E14" s="13" t="str">
        <x:v>中芯国际</x:v>
      </x:c>
      <x:c r="F14" s="13" t="str">
        <x:v>港股</x:v>
      </x:c>
      <x:c r="G14" s="13" t="str">
        <x:v>核心承接</x:v>
      </x:c>
      <x:c r="H14" s="14" t="str">
        <x:v>半导体主线兑现后观察76-77港元附近能否站稳</x:v>
      </x:c>
      <x:c r="I14" s="14" t="str">
        <x:v>站稳76-77港元且强于同类</x:v>
      </x:c>
      <x:c r="J14" s="14" t="str">
        <x:v>跌回76港元下方</x:v>
      </x:c>
      <x:c r="K14" s="18" t="n">
        <x:v>74</x:v>
      </x:c>
      <x:c r="L14" s="19" t="n">
        <x:v>-0.0346</x:v>
      </x:c>
      <x:c r="M14" s="20" t="str">
        <x:v>否</x:v>
      </x:c>
      <x:c r="N14" s="20" t="str">
        <x:v>是</x:v>
      </x:c>
      <x:c r="O14" s="20" t="str">
        <x:v>未命中</x:v>
      </x:c>
      <x:c r="P14" s="14" t="str">
        <x:v>收盘74.00，较前日-3.46%，跌回76港元下方，核心承接判断失效。</x:v>
      </x:c>
    </x:row>
    <x:row r="15">
      <x:c r="A15" s="12" t="str">
        <x:v>2026/6/15</x:v>
      </x:c>
      <x:c r="B15" s="12" t="str">
        <x:v>2026/6/16</x:v>
      </x:c>
      <x:c r="C15" s="13" t="n">
        <x:v>3</x:v>
      </x:c>
      <x:c r="D15" s="12" t="str">
        <x:f>TEXT(2050,"000000")</x:f>
        <x:v>002050</x:v>
      </x:c>
      <x:c r="E15" s="13" t="str">
        <x:v>三花智控</x:v>
      </x:c>
      <x:c r="F15" s="13" t="str">
        <x:v>A股</x:v>
      </x:c>
      <x:c r="G15" s="13" t="str">
        <x:v>稳健观察</x:v>
      </x:c>
      <x:c r="H15" s="14" t="str">
        <x:v>稳健趋势票，等待回踩承接</x:v>
      </x:c>
      <x:c r="I15" s="14" t="str">
        <x:v>回踩44.7-45.0不破并转强</x:v>
      </x:c>
      <x:c r="J15" s="14" t="str">
        <x:v>跌破44.7且放量转弱</x:v>
      </x:c>
      <x:c r="K15" s="18" t="n">
        <x:v>45.12</x:v>
      </x:c>
      <x:c r="L15" s="19" t="n">
        <x:v>-0.0138</x:v>
      </x:c>
      <x:c r="M15" s="20" t="str">
        <x:v>是</x:v>
      </x:c>
      <x:c r="N15" s="20" t="str">
        <x:v>否</x:v>
      </x:c>
      <x:c r="O15" s="20" t="str">
        <x:v>部分命中</x:v>
      </x:c>
      <x:c r="P15" s="14" t="str">
        <x:v>收盘45.12，较前日-1.38%，低点44.90接近预设回踩区，未有效转强但未失效。</x:v>
      </x:c>
    </x:row>
    <x:row r="16">
      <x:c r="A16" s="12" t="str">
        <x:v>2026/6/15</x:v>
      </x:c>
      <x:c r="B16" s="12" t="str">
        <x:v>2026/6/16</x:v>
      </x:c>
      <x:c r="C16" s="13" t="n">
        <x:v>4</x:v>
      </x:c>
      <x:c r="D16" s="12" t="str">
        <x:f>TEXT(2837,"000000")</x:f>
        <x:v>002837</x:v>
      </x:c>
      <x:c r="E16" s="13" t="str">
        <x:v>英维克</x:v>
      </x:c>
      <x:c r="F16" s="13" t="str">
        <x:v>A股</x:v>
      </x:c>
      <x:c r="G16" s="13" t="str">
        <x:v>弹性进攻</x:v>
      </x:c>
      <x:c r="H16" s="14" t="str">
        <x:v>液冷方向转强，观察能否站稳70并继续上攻</x:v>
      </x:c>
      <x:c r="I16" s="14" t="str">
        <x:v>站稳70并挑战71.9-72</x:v>
      </x:c>
      <x:c r="J16" s="14" t="str">
        <x:v>跌破68.5</x:v>
      </x:c>
      <x:c r="K16" s="18" t="n">
        <x:v>73.19</x:v>
      </x:c>
      <x:c r="L16" s="19" t="n">
        <x:v>0.0377</x:v>
      </x:c>
      <x:c r="M16" s="20" t="str">
        <x:v>是</x:v>
      </x:c>
      <x:c r="N16" s="20" t="str">
        <x:v>否</x:v>
      </x:c>
      <x:c r="O16" s="20" t="str">
        <x:v>命中</x:v>
      </x:c>
      <x:c r="P16" s="14" t="str">
        <x:v>收盘73.19，较前日+3.77%，站稳70并突破目标区，弹性进攻命中。</x:v>
      </x:c>
    </x:row>
    <x:row r="17">
      <x:c r="A17" s="12" t="str">
        <x:v>2026/6/15</x:v>
      </x:c>
      <x:c r="B17" s="12" t="str">
        <x:v>2026/6/16</x:v>
      </x:c>
      <x:c r="C17" s="13" t="n">
        <x:v>5</x:v>
      </x:c>
      <x:c r="D17" s="12" t="str">
        <x:f>TEXT(600105,"000000")</x:f>
        <x:v>600105</x:v>
      </x:c>
      <x:c r="E17" s="13" t="str">
        <x:v>永鼎股份</x:v>
      </x:c>
      <x:c r="F17" s="13" t="str">
        <x:v>A股</x:v>
      </x:c>
      <x:c r="G17" s="13" t="str">
        <x:v>稳健观察</x:v>
      </x:c>
      <x:c r="H17" s="14" t="str">
        <x:v>光通信趋势强，观察52-53区间承接</x:v>
      </x:c>
      <x:c r="I17" s="14" t="str">
        <x:v>维持52-53上方且量能不萎缩</x:v>
      </x:c>
      <x:c r="J17" s="14" t="str">
        <x:v>跌破51</x:v>
      </x:c>
      <x:c r="K17" s="18" t="n">
        <x:v>58.88</x:v>
      </x:c>
      <x:c r="L17" s="19" t="n">
        <x:v>0.1</x:v>
      </x:c>
      <x:c r="M17" s="20" t="str">
        <x:v>是</x:v>
      </x:c>
      <x:c r="N17" s="20" t="str">
        <x:v>否</x:v>
      </x:c>
      <x:c r="O17" s="20" t="str">
        <x:v>命中</x:v>
      </x:c>
      <x:c r="P17" s="14" t="str">
        <x:v>收盘58.88，较前日+10.00%，全天维持52-53上方并显著走强。</x:v>
      </x:c>
    </x:row>
    <x:row r="18">
      <x:c r="A18" s="12" t="str">
        <x:v>2026/6/15</x:v>
      </x:c>
      <x:c r="B18" s="12" t="str">
        <x:v>2026/6/16</x:v>
      </x:c>
      <x:c r="C18" s="13" t="n">
        <x:v>6</x:v>
      </x:c>
      <x:c r="D18" s="12" t="str">
        <x:f>TEXT(600176,"000000")</x:f>
        <x:v>600176</x:v>
      </x:c>
      <x:c r="E18" s="13" t="str">
        <x:v>中国巨石</x:v>
      </x:c>
      <x:c r="F18" s="13" t="str">
        <x:v>A股</x:v>
      </x:c>
      <x:c r="G18" s="13" t="str">
        <x:v>弹性进攻</x:v>
      </x:c>
      <x:c r="H18" s="14" t="str">
        <x:v>涨停后观察次日承接，不追高</x:v>
      </x:c>
      <x:c r="I18" s="14" t="str">
        <x:v>开盘不差且44-45一带强承接</x:v>
      </x:c>
      <x:c r="J18" s="14" t="str">
        <x:v>高开冲高回落或跌破43</x:v>
      </x:c>
      <x:c r="K18" s="18" t="n">
        <x:v>49.64</x:v>
      </x:c>
      <x:c r="L18" s="19" t="n">
        <x:v>0.08460000000000001</x:v>
      </x:c>
      <x:c r="M18" s="20" t="str">
        <x:v>是</x:v>
      </x:c>
      <x:c r="N18" s="20" t="str">
        <x:v>否</x:v>
      </x:c>
      <x:c r="O18" s="20" t="str">
        <x:v>部分命中</x:v>
      </x:c>
      <x:c r="P18" s="14" t="str">
        <x:v>收盘49.64，较前日+8.46%，方向正确但未给44-45理想承接点，属于高开超预期。</x:v>
      </x:c>
    </x:row>
    <x:row r="19">
      <x:c r="A19" s="12" t="str">
        <x:v>2026/6/15</x:v>
      </x:c>
      <x:c r="B19" s="12" t="str">
        <x:v>2026/6/16</x:v>
      </x:c>
      <x:c r="C19" s="13" t="n">
        <x:v>7</x:v>
      </x:c>
      <x:c r="D19" s="12" t="str">
        <x:f>TEXT(600522,"000000")</x:f>
        <x:v>600522</x:v>
      </x:c>
      <x:c r="E19" s="13" t="str">
        <x:v>中天科技</x:v>
      </x:c>
      <x:c r="F19" s="13" t="str">
        <x:v>A股</x:v>
      </x:c>
      <x:c r="G19" s="13" t="str">
        <x:v>稳健观察</x:v>
      </x:c>
      <x:c r="H19" s="14" t="str">
        <x:v>光通信强趋势延续观察</x:v>
      </x:c>
      <x:c r="I19" s="14" t="str">
        <x:v>继续强于市场并维持短线强势</x:v>
      </x:c>
      <x:c r="J19" s="14" t="str">
        <x:v>跌破短线平台</x:v>
      </x:c>
      <x:c r="K19" s="18" t="n">
        <x:v>54.15</x:v>
      </x:c>
      <x:c r="L19" s="19" t="n">
        <x:v>0.0545</x:v>
      </x:c>
      <x:c r="M19" s="20" t="str">
        <x:v>是</x:v>
      </x:c>
      <x:c r="N19" s="20" t="str">
        <x:v>否</x:v>
      </x:c>
      <x:c r="O19" s="20" t="str">
        <x:v>命中</x:v>
      </x:c>
      <x:c r="P19" s="14" t="str">
        <x:v>收盘54.15，较前日+5.45%，延续强趋势，稳健观察命中。</x:v>
      </x:c>
    </x:row>
    <x:row r="20">
      <x:c r="A20" s="12" t="str">
        <x:v>2026/6/15</x:v>
      </x:c>
      <x:c r="B20" s="12" t="str">
        <x:v>2026/6/16</x:v>
      </x:c>
      <x:c r="C20" s="13" t="n">
        <x:v>8</x:v>
      </x:c>
      <x:c r="D20" s="12" t="str">
        <x:f>"06613.HK"</x:f>
        <x:v>06613.HK</x:v>
      </x:c>
      <x:c r="E20" s="13" t="str">
        <x:v>蓝思科技H</x:v>
      </x:c>
      <x:c r="F20" s="13" t="str">
        <x:v>港股</x:v>
      </x:c>
      <x:c r="G20" s="13" t="str">
        <x:v>弹性进攻</x:v>
      </x:c>
      <x:c r="H20" s="14" t="str">
        <x:v>港股AI硬件强势后看次日承接</x:v>
      </x:c>
      <x:c r="I20" s="14" t="str">
        <x:v>继续放量且强于恒指并不冲高回落</x:v>
      </x:c>
      <x:c r="J20" s="14" t="str">
        <x:v>明显跌回前日突破位</x:v>
      </x:c>
      <x:c r="K20" s="18" t="n">
        <x:v>27.82</x:v>
      </x:c>
      <x:c r="L20" s="19" t="n">
        <x:v>0.0562</x:v>
      </x:c>
      <x:c r="M20" s="20" t="str">
        <x:v>是</x:v>
      </x:c>
      <x:c r="N20" s="20" t="str">
        <x:v>否</x:v>
      </x:c>
      <x:c r="O20" s="20" t="str">
        <x:v>命中</x:v>
      </x:c>
      <x:c r="P20" s="14" t="str">
        <x:v>收盘27.82，较前日+5.62%，延续放量强势且收盘接近高位。</x:v>
      </x:c>
    </x:row>
    <x:row r="21">
      <x:c r="A21" s="12" t="str">
        <x:v>2026/6/16</x:v>
      </x:c>
      <x:c r="B21" s="12" t="str">
        <x:v>2026/6/17</x:v>
      </x:c>
      <x:c r="C21" s="13" t="n">
        <x:v>1</x:v>
      </x:c>
      <x:c r="D21" s="12" t="str">
        <x:f>TEXT(2709,"000000")</x:f>
        <x:v>002709</x:v>
      </x:c>
      <x:c r="E21" s="13" t="str">
        <x:v>天赐材料</x:v>
      </x:c>
      <x:c r="F21" s="13" t="str">
        <x:v>A股</x:v>
      </x:c>
      <x:c r="G21" s="13" t="str">
        <x:v>非规则票</x:v>
      </x:c>
      <x:c r="H21" s="14" t="str">
        <x:v>锂电材料低位强修复，观察是否站稳短线均线</x:v>
      </x:c>
      <x:c r="I21" s="14" t="str">
        <x:v>站稳51.5-52.0并继续放量</x:v>
      </x:c>
      <x:c r="J21" s="14" t="str">
        <x:v>跌破50.9或跌回51.5</x:v>
      </x:c>
      <x:c r="K21" s="18" t="n">
        <x:v>52.85</x:v>
      </x:c>
      <x:c r="L21" s="19" t="n">
        <x:v>0.0109</x:v>
      </x:c>
      <x:c r="M21" s="20" t="str">
        <x:v>是</x:v>
      </x:c>
      <x:c r="N21" s="20" t="str">
        <x:v>否</x:v>
      </x:c>
      <x:c r="O21" s="20" t="str">
        <x:v>命中</x:v>
      </x:c>
      <x:c r="P21" s="14" t="str">
        <x:v>非原交易规则票。收盘52.85，较前日+1.09%，守住51.5-52.0并继续维持修复结构。</x:v>
      </x:c>
    </x:row>
    <x:row r="22">
      <x:c r="A22" s="12" t="str">
        <x:v>2026/6/16</x:v>
      </x:c>
      <x:c r="B22" s="12" t="str">
        <x:v>2026/6/17</x:v>
      </x:c>
      <x:c r="C22" s="13" t="n">
        <x:v>2</x:v>
      </x:c>
      <x:c r="D22" s="12" t="str">
        <x:f>TEXT(2837,"000000")</x:f>
        <x:v>002837</x:v>
      </x:c>
      <x:c r="E22" s="13" t="str">
        <x:v>英维克</x:v>
      </x:c>
      <x:c r="F22" s="13" t="str">
        <x:v>A股</x:v>
      </x:c>
      <x:c r="G22" s="13" t="str">
        <x:v>非规则票</x:v>
      </x:c>
      <x:c r="H22" s="14" t="str">
        <x:v>液冷/算力方向继续强，观察能否站稳20日线</x:v>
      </x:c>
      <x:c r="I22" s="14" t="str">
        <x:v>站稳72-73并强于指数</x:v>
      </x:c>
      <x:c r="J22" s="14" t="str">
        <x:v>跌破70或跌回72</x:v>
      </x:c>
      <x:c r="K22" s="18" t="n">
        <x:v>74.62</x:v>
      </x:c>
      <x:c r="L22" s="19" t="n">
        <x:v>0.0195</x:v>
      </x:c>
      <x:c r="M22" s="20" t="str">
        <x:v>是</x:v>
      </x:c>
      <x:c r="N22" s="20" t="str">
        <x:v>否</x:v>
      </x:c>
      <x:c r="O22" s="20" t="str">
        <x:v>命中</x:v>
      </x:c>
      <x:c r="P22" s="14" t="str">
        <x:v>非原交易规则票。收盘74.62，较前日+1.95%，站稳72-73，趋势延续。</x:v>
      </x:c>
    </x:row>
    <x:row r="23">
      <x:c r="A23" s="12" t="str">
        <x:v>2026/6/16</x:v>
      </x:c>
      <x:c r="B23" s="12" t="str">
        <x:v>2026/6/17</x:v>
      </x:c>
      <x:c r="C23" s="13" t="n">
        <x:v>3</x:v>
      </x:c>
      <x:c r="D23" s="12" t="str">
        <x:f>"06613.HK"</x:f>
        <x:v>06613.HK</x:v>
      </x:c>
      <x:c r="E23" s="13" t="str">
        <x:v>蓝思科技H</x:v>
      </x:c>
      <x:c r="F23" s="13" t="str">
        <x:v>港股</x:v>
      </x:c>
      <x:c r="G23" s="13" t="str">
        <x:v>非规则票</x:v>
      </x:c>
      <x:c r="H23" s="14" t="str">
        <x:v>港股AI硬件延续强势，核心短线继续上攻</x:v>
      </x:c>
      <x:c r="I23" s="14" t="str">
        <x:v>站稳27.5并强于恒指</x:v>
      </x:c>
      <x:c r="J23" s="14" t="str">
        <x:v>跌破26.8或冲高回落</x:v>
      </x:c>
      <x:c r="K23" s="18" t="n">
        <x:v>28.28</x:v>
      </x:c>
      <x:c r="L23" s="19" t="n">
        <x:v>0.0737</x:v>
      </x:c>
      <x:c r="M23" s="20" t="str">
        <x:v>是</x:v>
      </x:c>
      <x:c r="N23" s="20" t="str">
        <x:v>否</x:v>
      </x:c>
      <x:c r="O23" s="20" t="str">
        <x:v>命中</x:v>
      </x:c>
      <x:c r="P23" s="14" t="str">
        <x:v>非原交易规则票。收盘28.28，较前日+7.37%，强于恒指并站稳27.5。</x:v>
      </x:c>
    </x:row>
    <x:row r="24">
      <x:c r="A24" s="12" t="str">
        <x:v>2026/6/16</x:v>
      </x:c>
      <x:c r="B24" s="12" t="str">
        <x:v>2026/6/17</x:v>
      </x:c>
      <x:c r="C24" s="13" t="n">
        <x:v>4</x:v>
      </x:c>
      <x:c r="D24" s="12" t="str">
        <x:f>TEXT(600114,"000000")</x:f>
        <x:v>600114</x:v>
      </x:c>
      <x:c r="E24" s="13" t="str">
        <x:v>东睦股份</x:v>
      </x:c>
      <x:c r="F24" s="13" t="str">
        <x:v>A股</x:v>
      </x:c>
      <x:c r="G24" s="13" t="str">
        <x:v>非规则票</x:v>
      </x:c>
      <x:c r="H24" s="14" t="str">
        <x:v>高端制造/粉末冶金趋势延续，观察平台突破</x:v>
      </x:c>
      <x:c r="I24" s="14" t="str">
        <x:v>站稳42并突破43</x:v>
      </x:c>
      <x:c r="J24" s="14" t="str">
        <x:v>跌破41.8且放量回落</x:v>
      </x:c>
      <x:c r="K24" s="18" t="n">
        <x:v>43.24</x:v>
      </x:c>
      <x:c r="L24" s="19" t="n">
        <x:v>0.021</x:v>
      </x:c>
      <x:c r="M24" s="20" t="str">
        <x:v>是</x:v>
      </x:c>
      <x:c r="N24" s="20" t="str">
        <x:v>否</x:v>
      </x:c>
      <x:c r="O24" s="20" t="str">
        <x:v>命中</x:v>
      </x:c>
      <x:c r="P24" s="14" t="str">
        <x:v>非原交易规则票。收盘43.24，较前日+2.10%，站稳42并突破43，趋势仍在。</x:v>
      </x:c>
    </x:row>
    <x:row r="25">
      <x:c r="A25" s="12" t="str">
        <x:v>2026/6/16</x:v>
      </x:c>
      <x:c r="B25" s="12" t="str">
        <x:v>2026/6/17</x:v>
      </x:c>
      <x:c r="C25" s="13" t="n">
        <x:v>5</x:v>
      </x:c>
      <x:c r="D25" s="12" t="str">
        <x:f>TEXT(300058,"000000")</x:f>
        <x:v>300058</x:v>
      </x:c>
      <x:c r="E25" s="13" t="str">
        <x:v>蓝色光标</x:v>
      </x:c>
      <x:c r="F25" s="13" t="str">
        <x:v>A股</x:v>
      </x:c>
      <x:c r="G25" s="13" t="str">
        <x:v>非规则票</x:v>
      </x:c>
      <x:c r="H25" s="14" t="str">
        <x:v>AI传媒低位补涨，观察能否放量修复</x:v>
      </x:c>
      <x:c r="I25" s="14" t="str">
        <x:v>放量站稳15.3-15.5</x:v>
      </x:c>
      <x:c r="J25" s="14" t="str">
        <x:v>跌破14.8且量能继续走弱</x:v>
      </x:c>
      <x:c r="K25" s="18" t="n">
        <x:v>14.95</x:v>
      </x:c>
      <x:c r="L25" s="19" t="n">
        <x:v>-0.0086</x:v>
      </x:c>
      <x:c r="M25" s="20" t="str">
        <x:v>否</x:v>
      </x:c>
      <x:c r="N25" s="20" t="str">
        <x:v>是</x:v>
      </x:c>
      <x:c r="O25" s="20" t="str">
        <x:v>未命中</x:v>
      </x:c>
      <x:c r="P25" s="14" t="str">
        <x:v>非原交易规则票。收盘14.95，较前日-0.86%，未站上15.3-15.5，补涨修复未兑现。</x:v>
      </x:c>
    </x:row>
    <x:row r="26">
      <x:c r="A26" s="12" t="str">
        <x:v>2026/6/16</x:v>
      </x:c>
      <x:c r="B26" s="12" t="str">
        <x:v>2026/6/17</x:v>
      </x:c>
      <x:c r="C26" s="13" t="n">
        <x:v>6</x:v>
      </x:c>
      <x:c r="D26" s="12" t="str">
        <x:f>TEXT(600176,"000000")</x:f>
        <x:v>600176</x:v>
      </x:c>
      <x:c r="E26" s="13" t="str">
        <x:v>中国巨石</x:v>
      </x:c>
      <x:c r="F26" s="13" t="str">
        <x:v>A股</x:v>
      </x:c>
      <x:c r="G26" s="13" t="str">
        <x:v>非规则高风险观察</x:v>
      </x:c>
      <x:c r="H26" s="14" t="str">
        <x:v>材料方向连续上涨，观察强势后承接但不追高</x:v>
      </x:c>
      <x:c r="I26" s="14" t="str">
        <x:v>站稳48且维持高位承接</x:v>
      </x:c>
      <x:c r="J26" s="14" t="str">
        <x:v>跌破47或高开冲高回落</x:v>
      </x:c>
      <x:c r="K26" s="18" t="n">
        <x:v>54.6</x:v>
      </x:c>
      <x:c r="L26" s="19" t="n">
        <x:v>0.0999</x:v>
      </x:c>
      <x:c r="M26" s="20" t="str">
        <x:v>是</x:v>
      </x:c>
      <x:c r="N26" s="20" t="str">
        <x:v>否</x:v>
      </x:c>
      <x:c r="O26" s="20" t="str">
        <x:v>命中</x:v>
      </x:c>
      <x:c r="P26" s="14" t="str">
        <x:v>非原交易规则票。收盘54.60，较前日+9.99%，强者恒强兑现，但已明显加速。</x:v>
      </x:c>
    </x:row>
    <x:row r="27">
      <x:c r="A27" s="12" t="str">
        <x:v>2026/6/17</x:v>
      </x:c>
      <x:c r="B27" s="12" t="str">
        <x:v>2026/6/18</x:v>
      </x:c>
      <x:c r="C27" s="13" t="n">
        <x:v>1</x:v>
      </x:c>
      <x:c r="D27" s="12" t="str">
        <x:f>TEXT(2837,"000000")</x:f>
        <x:v>002837</x:v>
      </x:c>
      <x:c r="E27" s="13" t="str">
        <x:v>英维克</x:v>
      </x:c>
      <x:c r="F27" s="13" t="str">
        <x:v>A股</x:v>
      </x:c>
      <x:c r="G27" s="13" t="str">
        <x:v>核心承接</x:v>
      </x:c>
      <x:c r="H27" s="14" t="str">
        <x:v>光通信/算力液冷延续强势，观察回踩承接后能否再上攻</x:v>
      </x:c>
      <x:c r="I27" s="14" t="str">
        <x:v>守住72-73，并重新向75.5上方尝试</x:v>
      </x:c>
      <x:c r="J27" s="14" t="str">
        <x:v>跌破72且放量走弱</x:v>
      </x:c>
      <x:c r="K27" s="18" t="n">
        <x:v>74.37</x:v>
      </x:c>
      <x:c r="L27" s="19" t="n">
        <x:v>-0.0034000000000000002</x:v>
      </x:c>
      <x:c r="M27" s="20" t="str">
        <x:v>是</x:v>
      </x:c>
      <x:c r="N27" s="20" t="str">
        <x:v>否</x:v>
      </x:c>
      <x:c r="O27" s="20" t="str">
        <x:v>部分命中</x:v>
      </x:c>
      <x:c r="P27" s="14" t="str">
        <x:v>收盘74.37，较前日-0.34%，盘中上冲75.5上方但收盘回落翻绿，守住72-73承接位，方向对但确认度不够。</x:v>
      </x:c>
    </x:row>
    <x:row r="28">
      <x:c r="A28" s="12" t="str">
        <x:v>2026/6/17</x:v>
      </x:c>
      <x:c r="B28" s="12" t="str">
        <x:v>2026/6/18</x:v>
      </x:c>
      <x:c r="C28" s="13" t="n">
        <x:v>2</x:v>
      </x:c>
      <x:c r="D28" s="12" t="str">
        <x:f>TEXT(600522,"000000")</x:f>
        <x:v>600522</x:v>
      </x:c>
      <x:c r="E28" s="13" t="str">
        <x:v>中天科技</x:v>
      </x:c>
      <x:c r="F28" s="13" t="str">
        <x:v>A股</x:v>
      </x:c>
      <x:c r="G28" s="13" t="str">
        <x:v>稳健观察</x:v>
      </x:c>
      <x:c r="H28" s="14" t="str">
        <x:v>光通信趋势维持，观察是否继续稳步上攻</x:v>
      </x:c>
      <x:c r="I28" s="14" t="str">
        <x:v>守住54附近，并重新挑战56.3</x:v>
      </x:c>
      <x:c r="J28" s="14" t="str">
        <x:v>跌破52.6且放量回落</x:v>
      </x:c>
      <x:c r="K28" s="18" t="n">
        <x:v>56.55</x:v>
      </x:c>
      <x:c r="L28" s="19" t="n">
        <x:v>0.029900000000000003</x:v>
      </x:c>
      <x:c r="M28" s="20" t="str">
        <x:v>是</x:v>
      </x:c>
      <x:c r="N28" s="20" t="str">
        <x:v>否</x:v>
      </x:c>
      <x:c r="O28" s="20" t="str">
        <x:v>命中</x:v>
      </x:c>
      <x:c r="P28" s="14" t="str">
        <x:v>收盘56.55，较前日+2.99%，守住54附近并突破56.3，稳健趋势延续。</x:v>
      </x:c>
    </x:row>
    <x:row r="29">
      <x:c r="A29" s="12" t="str">
        <x:v>2026/6/17</x:v>
      </x:c>
      <x:c r="B29" s="12" t="str">
        <x:v>2026/6/18</x:v>
      </x:c>
      <x:c r="C29" s="13" t="n">
        <x:v>3</x:v>
      </x:c>
      <x:c r="D29" s="12" t="str">
        <x:f>"06613.HK"</x:f>
        <x:v>06613.HK</x:v>
      </x:c>
      <x:c r="E29" s="13" t="str">
        <x:v>蓝思科技H</x:v>
      </x:c>
      <x:c r="F29" s="13" t="str">
        <x:v>港股</x:v>
      </x:c>
      <x:c r="G29" s="13" t="str">
        <x:v>弹性进攻</x:v>
      </x:c>
      <x:c r="H29" s="14" t="str">
        <x:v>AI硬件/消费电子强势后观察是否继续放量上冲</x:v>
      </x:c>
      <x:c r="I29" s="14" t="str">
        <x:v>站稳27.5-28.0，突破29.1更强</x:v>
      </x:c>
      <x:c r="J29" s="14" t="str">
        <x:v>跌回27.0且冲高回落明显</x:v>
      </x:c>
      <x:c r="K29" s="18" t="n">
        <x:v>29.96</x:v>
      </x:c>
      <x:c r="L29" s="19" t="n">
        <x:v>0.0594</x:v>
      </x:c>
      <x:c r="M29" s="20" t="str">
        <x:v>是</x:v>
      </x:c>
      <x:c r="N29" s="20" t="str">
        <x:v>否</x:v>
      </x:c>
      <x:c r="O29" s="20" t="str">
        <x:v>命中</x:v>
      </x:c>
      <x:c r="P29" s="14" t="str">
        <x:v>收盘29.96港元，较前日+5.94%，站稳27.5-28.0并突破29.1，弹性进攻确认命中。此前误把昨收28.28录成今日收盘，已更正。</x:v>
      </x:c>
    </x:row>
    <x:row r="30">
      <x:c r="A30" s="12" t="str">
        <x:v>2026/6/17</x:v>
      </x:c>
      <x:c r="B30" s="12" t="str">
        <x:v>2026/6/18</x:v>
      </x:c>
      <x:c r="C30" s="13" t="n">
        <x:v>4</x:v>
      </x:c>
      <x:c r="D30" s="12" t="str">
        <x:f>TEXT(2436,"000000")</x:f>
        <x:v>002436</x:v>
      </x:c>
      <x:c r="E30" s="13" t="str">
        <x:v>兴森科技</x:v>
      </x:c>
      <x:c r="F30" s="13" t="str">
        <x:v>A股</x:v>
      </x:c>
      <x:c r="G30" s="13" t="str">
        <x:v>弹性进攻</x:v>
      </x:c>
      <x:c r="H30" s="14" t="str">
        <x:v>PCB/封装基板方向转强，观察能否延续放量突破</x:v>
      </x:c>
      <x:c r="I30" s="14" t="str">
        <x:v>守住46-47，并继续强于半导体链</x:v>
      </x:c>
      <x:c r="J30" s="14" t="str">
        <x:v>跌破45且放量回落</x:v>
      </x:c>
      <x:c r="K30" s="18" t="n">
        <x:v>52.06</x:v>
      </x:c>
      <x:c r="L30" s="19" t="n">
        <x:v>0.0891</x:v>
      </x:c>
      <x:c r="M30" s="20" t="str">
        <x:v>是</x:v>
      </x:c>
      <x:c r="N30" s="20" t="str">
        <x:v>否</x:v>
      </x:c>
      <x:c r="O30" s="20" t="str">
        <x:v>命中</x:v>
      </x:c>
      <x:c r="P30" s="14" t="str">
        <x:v>收盘52.06，较前日+8.91%，守住46-47并显著强于半导体链，弹性延续。</x:v>
      </x:c>
    </x:row>
    <x:row r="31">
      <x:c r="A31" s="12" t="str">
        <x:v>2026/6/17</x:v>
      </x:c>
      <x:c r="B31" s="12" t="str">
        <x:v>2026/6/18</x:v>
      </x:c>
      <x:c r="C31" s="13" t="n">
        <x:v>5</x:v>
      </x:c>
      <x:c r="D31" s="12" t="str">
        <x:f>TEXT(636,"000000")</x:f>
        <x:v>000636</x:v>
      </x:c>
      <x:c r="E31" s="13" t="str">
        <x:v>风华高科</x:v>
      </x:c>
      <x:c r="F31" s="13" t="str">
        <x:v>A股</x:v>
      </x:c>
      <x:c r="G31" s="13" t="str">
        <x:v>稳健观察</x:v>
      </x:c>
      <x:c r="H31" s="14" t="str">
        <x:v>被动元件趋势修复，观察是否继续稳住关键区间</x:v>
      </x:c>
      <x:c r="I31" s="14" t="str">
        <x:v>守住72-74区间，并继续强于板块</x:v>
      </x:c>
      <x:c r="J31" s="14" t="str">
        <x:v>跌破70且放量走弱</x:v>
      </x:c>
      <x:c r="K31" s="18" t="n">
        <x:v>74.6</x:v>
      </x:c>
      <x:c r="L31" s="19" t="n">
        <x:v>0.0073</x:v>
      </x:c>
      <x:c r="M31" s="20" t="str">
        <x:v>是</x:v>
      </x:c>
      <x:c r="N31" s="20" t="str">
        <x:v>否</x:v>
      </x:c>
      <x:c r="O31" s="20" t="str">
        <x:v>命中</x:v>
      </x:c>
      <x:c r="P31" s="14" t="str">
        <x:v>收盘74.60，较前日+0.73%，守住72-74区间且继续偏强，稳健观察命中。</x:v>
      </x:c>
    </x:row>
    <x:row r="32">
      <x:c r="A32" s="12" t="str">
        <x:v>2026/6/17</x:v>
      </x:c>
      <x:c r="B32" s="12" t="str">
        <x:v>2026/6/18</x:v>
      </x:c>
      <x:c r="C32" s="13" t="n">
        <x:v>6</x:v>
      </x:c>
      <x:c r="D32" s="12" t="str">
        <x:f>TEXT(2156,"000000")</x:f>
        <x:v>002156</x:v>
      </x:c>
      <x:c r="E32" s="13" t="str">
        <x:v>通富微电</x:v>
      </x:c>
      <x:c r="F32" s="13" t="str">
        <x:v>A股</x:v>
      </x:c>
      <x:c r="G32" s="13" t="str">
        <x:v>弹性进攻</x:v>
      </x:c>
      <x:c r="H32" s="14" t="str">
        <x:v>半导体封测转强，观察是否继续上攻</x:v>
      </x:c>
      <x:c r="I32" s="14" t="str">
        <x:v>守住65-67，并继续上攻；突破69更强</x:v>
      </x:c>
      <x:c r="J32" s="14" t="str">
        <x:v>跌破63且放量回落</x:v>
      </x:c>
      <x:c r="K32" s="18" t="n">
        <x:v>68.27</x:v>
      </x:c>
      <x:c r="L32" s="19" t="n">
        <x:v>0.015600000000000001</x:v>
      </x:c>
      <x:c r="M32" s="20" t="str">
        <x:v>是</x:v>
      </x:c>
      <x:c r="N32" s="20" t="str">
        <x:v>否</x:v>
      </x:c>
      <x:c r="O32" s="20" t="str">
        <x:v>命中</x:v>
      </x:c>
      <x:c r="P32" s="14" t="str">
        <x:v>收盘68.27，较前日+1.56%，守住65-67并上冲69上方，半导体封测延续。</x:v>
      </x:c>
    </x:row>
    <x:row r="33">
      <x:c r="A33" s="12" t="str">
        <x:v>2026/6/17</x:v>
      </x:c>
      <x:c r="B33" s="12" t="str">
        <x:v>2026/6/18</x:v>
      </x:c>
      <x:c r="C33" s="13" t="n">
        <x:v>7</x:v>
      </x:c>
      <x:c r="D33" s="12" t="str">
        <x:f>TEXT(600114,"000000")</x:f>
        <x:v>600114</x:v>
      </x:c>
      <x:c r="E33" s="13" t="str">
        <x:v>东睦股份</x:v>
      </x:c>
      <x:c r="F33" s="13" t="str">
        <x:v>A股</x:v>
      </x:c>
      <x:c r="G33" s="13" t="str">
        <x:v>核心承接</x:v>
      </x:c>
      <x:c r="H33" s="14" t="str">
        <x:v>高端制造/机器人链延续，观察平台承接后能否再上攻</x:v>
      </x:c>
      <x:c r="I33" s="14" t="str">
        <x:v>守住42.8-43.0并重新上攻；突破45.15更强</x:v>
      </x:c>
      <x:c r="J33" s="14" t="str">
        <x:v>跌破42.0且放量转弱</x:v>
      </x:c>
      <x:c r="K33" s="18" t="n">
        <x:v>43.85</x:v>
      </x:c>
      <x:c r="L33" s="19" t="n">
        <x:v>0.0141</x:v>
      </x:c>
      <x:c r="M33" s="20" t="str">
        <x:v>是</x:v>
      </x:c>
      <x:c r="N33" s="20" t="str">
        <x:v>否</x:v>
      </x:c>
      <x:c r="O33" s="20" t="str">
        <x:v>命中</x:v>
      </x:c>
      <x:c r="P33" s="14" t="str">
        <x:v>收盘43.85，较前日+1.41%，守住42.8-43.0并突破45.15后回落但仍收强，承接有效。</x:v>
      </x:c>
    </x:row>
    <x:row r="34">
      <x:c r="A34" s="12" t="str">
        <x:v>2026/6/21</x:v>
      </x:c>
      <x:c r="B34" s="12" t="str">
        <x:v>2026/6/22</x:v>
      </x:c>
      <x:c r="C34" s="13" t="n">
        <x:v>1</x:v>
      </x:c>
      <x:c r="D34" s="12" t="str">
        <x:f>TEXT(600522,"000000")</x:f>
        <x:v>600522</x:v>
      </x:c>
      <x:c r="E34" s="13" t="str">
        <x:v>中天科技</x:v>
      </x:c>
      <x:c r="F34" s="13" t="str">
        <x:v>A股</x:v>
      </x:c>
      <x:c r="G34" s="13" t="str">
        <x:v>稳健观察</x:v>
      </x:c>
      <x:c r="H34" s="14" t="str">
        <x:v>光通信强趋势延续，节后优先看高位承接质量</x:v>
      </x:c>
      <x:c r="I34" s="14" t="str">
        <x:v>守住56附近并重新放量上攻；突破58更强</x:v>
      </x:c>
      <x:c r="J34" s="14" t="str">
        <x:v>跌破54.8且放量转弱</x:v>
      </x:c>
      <x:c r="K34" s="18" t="n">
        <x:v>0</x:v>
      </x:c>
      <x:c r="L34" s="19" t="n">
        <x:v>0</x:v>
      </x:c>
      <x:c r="M34" s="20" t="str"/>
      <x:c r="N34" s="20" t="str"/>
      <x:c r="O34" s="20" t="str">
        <x:v>待复盘</x:v>
      </x:c>
      <x:c r="P34" s="14" t="str"/>
    </x:row>
    <x:row r="35">
      <x:c r="A35" s="12" t="str">
        <x:v>2026/6/21</x:v>
      </x:c>
      <x:c r="B35" s="12" t="str">
        <x:v>2026/6/22</x:v>
      </x:c>
      <x:c r="C35" s="13" t="n">
        <x:v>2</x:v>
      </x:c>
      <x:c r="D35" s="12" t="str">
        <x:f>"06613.HK"</x:f>
        <x:v>06613.HK</x:v>
      </x:c>
      <x:c r="E35" s="13" t="str">
        <x:v>蓝思科技H</x:v>
      </x:c>
      <x:c r="F35" s="13" t="str">
        <x:v>港股</x:v>
      </x:c>
      <x:c r="G35" s="13" t="str">
        <x:v>弹性进攻</x:v>
      </x:c>
      <x:c r="H35" s="14" t="str">
        <x:v>AI硬件和人工智能消费政策共振，观察强势后能否继续站稳</x:v>
      </x:c>
      <x:c r="I35" s="14" t="str">
        <x:v>守住29.5-30.0且强于恒科；突破31更强</x:v>
      </x:c>
      <x:c r="J35" s="14" t="str">
        <x:v>跌回29.0且冲高回落明显</x:v>
      </x:c>
      <x:c r="K35" s="18" t="n">
        <x:v>0</x:v>
      </x:c>
      <x:c r="L35" s="19" t="n">
        <x:v>0</x:v>
      </x:c>
      <x:c r="M35" s="20" t="str"/>
      <x:c r="N35" s="20" t="str"/>
      <x:c r="O35" s="20" t="str">
        <x:v>待复盘</x:v>
      </x:c>
      <x:c r="P35" s="14" t="str"/>
    </x:row>
    <x:row r="36">
      <x:c r="A36" s="12" t="str">
        <x:v>2026/6/21</x:v>
      </x:c>
      <x:c r="B36" s="12" t="str">
        <x:v>2026/6/22</x:v>
      </x:c>
      <x:c r="C36" s="13" t="n">
        <x:v>3</x:v>
      </x:c>
      <x:c r="D36" s="12" t="str">
        <x:f>TEXT(2156,"000000")</x:f>
        <x:v>002156</x:v>
      </x:c>
      <x:c r="E36" s="13" t="str">
        <x:v>通富微电</x:v>
      </x:c>
      <x:c r="F36" s="13" t="str">
        <x:v>A股</x:v>
      </x:c>
      <x:c r="G36" s="13" t="str">
        <x:v>弹性进攻</x:v>
      </x:c>
      <x:c r="H36" s="14" t="str">
        <x:v>半导体封测链延续，受AI算力和半导体景气预期支撑</x:v>
      </x:c>
      <x:c r="I36" s="14" t="str">
        <x:v>守住67附近并重新挑战69-70</x:v>
      </x:c>
      <x:c r="J36" s="14" t="str">
        <x:v>跌破65且放量回落</x:v>
      </x:c>
      <x:c r="K36" s="18" t="n">
        <x:v>0</x:v>
      </x:c>
      <x:c r="L36" s="19" t="n">
        <x:v>0</x:v>
      </x:c>
      <x:c r="M36" s="20" t="str"/>
      <x:c r="N36" s="20" t="str"/>
      <x:c r="O36" s="20" t="str">
        <x:v>待复盘</x:v>
      </x:c>
      <x:c r="P36" s="14" t="str"/>
    </x:row>
    <x:row r="37">
      <x:c r="A37" s="12" t="str">
        <x:v>2026/6/21</x:v>
      </x:c>
      <x:c r="B37" s="12" t="str">
        <x:v>2026/6/22</x:v>
      </x:c>
      <x:c r="C37" s="13" t="n">
        <x:v>4</x:v>
      </x:c>
      <x:c r="D37" s="12" t="str">
        <x:f>TEXT(600114,"000000")</x:f>
        <x:v>600114</x:v>
      </x:c>
      <x:c r="E37" s="13" t="str">
        <x:v>东睦股份</x:v>
      </x:c>
      <x:c r="F37" s="13" t="str">
        <x:v>A股</x:v>
      </x:c>
      <x:c r="G37" s="13" t="str">
        <x:v>核心承接</x:v>
      </x:c>
      <x:c r="H37" s="14" t="str">
        <x:v>机器人和高端制造链趋势未坏，观察43附近承接后能否再攻</x:v>
      </x:c>
      <x:c r="I37" s="14" t="str">
        <x:v>守住43附近并重新挑战45.15</x:v>
      </x:c>
      <x:c r="J37" s="14" t="str">
        <x:v>跌破42.0且放量转弱</x:v>
      </x:c>
      <x:c r="K37" s="18" t="n">
        <x:v>0</x:v>
      </x:c>
      <x:c r="L37" s="19" t="n">
        <x:v>0</x:v>
      </x:c>
      <x:c r="M37" s="20" t="str"/>
      <x:c r="N37" s="20" t="str"/>
      <x:c r="O37" s="20" t="str">
        <x:v>待复盘</x:v>
      </x:c>
      <x:c r="P37" s="14" t="str"/>
    </x:row>
    <x:row r="38">
      <x:c r="A38" s="12" t="str">
        <x:v>2026/6/21</x:v>
      </x:c>
      <x:c r="B38" s="12" t="str">
        <x:v>2026/6/22</x:v>
      </x:c>
      <x:c r="C38" s="13" t="n">
        <x:v>5</x:v>
      </x:c>
      <x:c r="D38" s="12" t="str">
        <x:f>TEXT(2837,"000000")</x:f>
        <x:v>002837</x:v>
      </x:c>
      <x:c r="E38" s="13" t="str">
        <x:v>英维克</x:v>
      </x:c>
      <x:c r="F38" s="13" t="str">
        <x:v>A股</x:v>
      </x:c>
      <x:c r="G38" s="13" t="str">
        <x:v>核心承接</x:v>
      </x:c>
      <x:c r="H38" s="14" t="str">
        <x:v>液冷温控仍在算力主线内，但上一交易日只算部分命中，必须收盘转强确认</x:v>
      </x:c>
      <x:c r="I38" s="14" t="str">
        <x:v>守住72-73并收盘站回75.5上方</x:v>
      </x:c>
      <x:c r="J38" s="14" t="str">
        <x:v>跌破72且放量走弱</x:v>
      </x:c>
      <x:c r="K38" s="18" t="n">
        <x:v>0</x:v>
      </x:c>
      <x:c r="L38" s="19" t="n">
        <x:v>0</x:v>
      </x:c>
      <x:c r="M38" s="20" t="str"/>
      <x:c r="N38" s="20" t="str"/>
      <x:c r="O38" s="20" t="str">
        <x:v>待复盘</x:v>
      </x:c>
      <x:c r="P38" s="14" t="str"/>
    </x:row>
    <x:row r="39">
      <x:c r="A39" s="12" t="str">
        <x:v>2026/6/21</x:v>
      </x:c>
      <x:c r="B39" s="12" t="str">
        <x:v>2026/6/22</x:v>
      </x:c>
      <x:c r="C39" s="13" t="n">
        <x:v>6</x:v>
      </x:c>
      <x:c r="D39" s="12" t="str">
        <x:f>TEXT(636,"000000")</x:f>
        <x:v>000636</x:v>
      </x:c>
      <x:c r="E39" s="13" t="str">
        <x:v>风华高科</x:v>
      </x:c>
      <x:c r="F39" s="13" t="str">
        <x:v>A股</x:v>
      </x:c>
      <x:c r="G39" s="13" t="str">
        <x:v>稳健观察</x:v>
      </x:c>
      <x:c r="H39" s="14" t="str">
        <x:v>被动元件和AI终端链保持趋势，适合作为稳健观察样本</x:v>
      </x:c>
      <x:c r="I39" s="14" t="str">
        <x:v>守住74附近并继续强于电子元件板块；突破76更强</x:v>
      </x:c>
      <x:c r="J39" s="14" t="str">
        <x:v>跌破72且放量走弱</x:v>
      </x:c>
      <x:c r="K39" s="18" t="n">
        <x:v>0</x:v>
      </x:c>
      <x:c r="L39" s="19" t="n">
        <x:v>0</x:v>
      </x:c>
      <x:c r="M39" s="20" t="str"/>
      <x:c r="N39" s="20" t="str"/>
      <x:c r="O39" s="20" t="str">
        <x:v>待复盘</x:v>
      </x:c>
      <x:c r="P39" s="14" t="str"/>
    </x:row>
    <x:row r="40">
      <x:c r="A40" s="12" t="str">
        <x:v>2026/6/21</x:v>
      </x:c>
      <x:c r="B40" s="12" t="str">
        <x:v>2026/6/22</x:v>
      </x:c>
      <x:c r="C40" s="13" t="n">
        <x:v>7</x:v>
      </x:c>
      <x:c r="D40" s="12" t="str">
        <x:f>TEXT(2436,"000000")</x:f>
        <x:v>002436</x:v>
      </x:c>
      <x:c r="E40" s="13" t="str">
        <x:v>兴森科技</x:v>
      </x:c>
      <x:c r="F40" s="13" t="str">
        <x:v>A股</x:v>
      </x:c>
      <x:c r="G40" s="13" t="str">
        <x:v>弹性进攻</x:v>
      </x:c>
      <x:c r="H40" s="14" t="str">
        <x:v>PCB和封装基板强势延续，但前一交易日涨幅较大，明天只做承接确认</x:v>
      </x:c>
      <x:c r="I40" s="14" t="str">
        <x:v>回踩50-52不破后再转强；或收盘继续强于半导体链</x:v>
      </x:c>
      <x:c r="J40" s="14" t="str">
        <x:v>跌破50且放量回落</x:v>
      </x:c>
      <x:c r="K40" s="18" t="n">
        <x:v>0</x:v>
      </x:c>
      <x:c r="L40" s="19" t="n">
        <x:v>0</x:v>
      </x:c>
      <x:c r="M40" s="20" t="str"/>
      <x:c r="N40" s="20" t="str"/>
      <x:c r="O40" s="20" t="str">
        <x:v>待复盘</x:v>
      </x:c>
      <x:c r="P40" s="14" t="str"/>
    </x:row>
    <x:row r="41">
      <x:c r="A41" s="12" t="str">
        <x:v>2026/6/21</x:v>
      </x:c>
      <x:c r="B41" s="12" t="str">
        <x:v>2026/6/22</x:v>
      </x:c>
      <x:c r="C41" s="13" t="n">
        <x:v>8</x:v>
      </x:c>
      <x:c r="D41" s="12" t="str">
        <x:f>"09880.HK"</x:f>
        <x:v>09880.HK</x:v>
      </x:c>
      <x:c r="E41" s="13" t="str">
        <x:v>优必选</x:v>
      </x:c>
      <x:c r="F41" s="13" t="str">
        <x:v>港股</x:v>
      </x:c>
      <x:c r="G41" s="13" t="str">
        <x:v>非规则票</x:v>
      </x:c>
      <x:c r="H41" s="14" t="str">
        <x:v>人工智能消费和机器人政策催化下的港股机器人弹性观察</x:v>
      </x:c>
      <x:c r="I41" s="14" t="str">
        <x:v>强于恒科并站稳近期短线平台</x:v>
      </x:c>
      <x:c r="J41" s="14" t="str">
        <x:v>高开冲高回落或跌破短线支撑</x:v>
      </x:c>
      <x:c r="K41" s="18" t="n">
        <x:v>0</x:v>
      </x:c>
      <x:c r="L41" s="19" t="n">
        <x:v>0</x:v>
      </x:c>
      <x:c r="M41" s="20" t="str"/>
      <x:c r="N41" s="20" t="str"/>
      <x:c r="O41" s="20" t="str">
        <x:v>待复盘</x:v>
      </x:c>
      <x:c r="P41" s="14" t="str"/>
    </x:row>
    <x:row r="42">
      <x:c r="A42" s="12" t="str">
        <x:v>2026/6/21</x:v>
      </x:c>
      <x:c r="B42" s="12" t="str">
        <x:v>2026/6/22</x:v>
      </x:c>
      <x:c r="C42" s="13" t="n">
        <x:v>9</x:v>
      </x:c>
      <x:c r="D42" s="12" t="str">
        <x:f>TEXT(688333,"000000")</x:f>
        <x:v>688333</x:v>
      </x:c>
      <x:c r="E42" s="13" t="str">
        <x:v>铂力特</x:v>
      </x:c>
      <x:c r="F42" s="13" t="str">
        <x:v>A股</x:v>
      </x:c>
      <x:c r="G42" s="13" t="str">
        <x:v>非规则高风险观察</x:v>
      </x:c>
      <x:c r="H42" s="14" t="str">
        <x:v>3D打印和高端制造情绪强，但前期涨幅大，只观察分歧承接</x:v>
      </x:c>
      <x:c r="I42" s="14" t="str">
        <x:v>缩量回踩不破前一交易日强势区间并尾盘收回</x:v>
      </x:c>
      <x:c r="J42" s="14" t="str">
        <x:v>高开低走或放量长上影</x:v>
      </x:c>
      <x:c r="K42" s="18" t="n">
        <x:v>0</x:v>
      </x:c>
      <x:c r="L42" s="19" t="n">
        <x:v>0</x:v>
      </x:c>
      <x:c r="M42" s="20" t="str"/>
      <x:c r="N42" s="20" t="str"/>
      <x:c r="O42" s="20" t="str">
        <x:v>待复盘</x:v>
      </x:c>
      <x:c r="P42" s="14" t="str"/>
    </x:row>
    <x:row r="43">
      <x:c r="A43" s="12" t="str">
        <x:v>2026/6/21</x:v>
      </x:c>
      <x:c r="B43" s="12" t="str">
        <x:v>2026/6/22</x:v>
      </x:c>
      <x:c r="C43" s="13" t="n">
        <x:v>10</x:v>
      </x:c>
      <x:c r="D43" s="12" t="str">
        <x:f>TEXT(301269,"000000")</x:f>
        <x:v>301269</x:v>
      </x:c>
      <x:c r="E43" s="13" t="str">
        <x:v>华大九天</x:v>
      </x:c>
      <x:c r="F43" s="13" t="str">
        <x:v>A股</x:v>
      </x:c>
      <x:c r="G43" s="13" t="str">
        <x:v>非规则票</x:v>
      </x:c>
      <x:c r="H43" s="14" t="str">
        <x:v>EDA和国产软件方向受半导体自主可控情绪映射，观察补涨弹性</x:v>
      </x:c>
      <x:c r="I43" s="14" t="str">
        <x:v>放量站上短线均线并强于半导体软件方向</x:v>
      </x:c>
      <x:c r="J43" s="14" t="str">
        <x:v>放量跌回短线均线下方</x:v>
      </x:c>
      <x:c r="K43" s="18" t="n">
        <x:v>0</x:v>
      </x:c>
      <x:c r="L43" s="19" t="n">
        <x:v>0</x:v>
      </x:c>
      <x:c r="M43" s="20" t="str"/>
      <x:c r="N43" s="20" t="str"/>
      <x:c r="O43" s="20" t="str">
        <x:v>待复盘</x:v>
      </x:c>
      <x:c r="P43" s="14" t="str"/>
    </x:row>
    <x:row r="44">
      <x:c r="A44" s="12" t="str">
        <x:v>2026/6/21</x:v>
      </x:c>
      <x:c r="B44" s="12" t="str">
        <x:v>2026/6/22</x:v>
      </x:c>
      <x:c r="C44" s="13" t="n">
        <x:v>11</x:v>
      </x:c>
      <x:c r="D44" s="12" t="str">
        <x:f>TEXT(600703,"000000")</x:f>
        <x:v>600703</x:v>
      </x:c>
      <x:c r="E44" s="13" t="str">
        <x:v>三安光电</x:v>
      </x:c>
      <x:c r="F44" s="13" t="str">
        <x:v>A股</x:v>
      </x:c>
      <x:c r="G44" s="13" t="str">
        <x:v>非规则票</x:v>
      </x:c>
      <x:c r="H44" s="14" t="str">
        <x:v>化合物半导体低位修复样本，偏补涨观察而非主规则执行</x:v>
      </x:c>
      <x:c r="I44" s="14" t="str">
        <x:v>放量站稳短线平台并强于半导体板块</x:v>
      </x:c>
      <x:c r="J44" s="14" t="str">
        <x:v>跌回平台下沿且量能放大</x:v>
      </x:c>
      <x:c r="K44" s="18" t="n">
        <x:v>0</x:v>
      </x:c>
      <x:c r="L44" s="19" t="n">
        <x:v>0</x:v>
      </x:c>
      <x:c r="M44" s="20" t="str"/>
      <x:c r="N44" s="20" t="str"/>
      <x:c r="O44" s="20" t="str">
        <x:v>待复盘</x:v>
      </x:c>
      <x:c r="P44" s="14" t="str"/>
    </x:row>
    <x:row r="45">
      <x:c r="A45" s="12" t="str">
        <x:v>2026/6/21</x:v>
      </x:c>
      <x:c r="B45" s="12" t="str">
        <x:v>2026/6/22</x:v>
      </x:c>
      <x:c r="C45" s="13" t="n">
        <x:v>12</x:v>
      </x:c>
      <x:c r="D45" s="12" t="str">
        <x:f>TEXT(2475,"000000")</x:f>
        <x:v>002475</x:v>
      </x:c>
      <x:c r="E45" s="13" t="str">
        <x:v>立讯精密</x:v>
      </x:c>
      <x:c r="F45" s="13" t="str">
        <x:v>A股</x:v>
      </x:c>
      <x:c r="G45" s="13" t="str">
        <x:v>非规则票</x:v>
      </x:c>
      <x:c r="H45" s="14" t="str">
        <x:v>AI终端和人工智能消费政策映射的大票观察，弹性弱但确定性相对高</x:v>
      </x:c>
      <x:c r="I45" s="14" t="str">
        <x:v>站回短线均线并强于消费电子板块</x:v>
      </x:c>
      <x:c r="J45" s="14" t="str">
        <x:v>冲高回落且未站回均线</x:v>
      </x:c>
      <x:c r="K45" s="18" t="n">
        <x:v>0</x:v>
      </x:c>
      <x:c r="L45" s="19" t="n">
        <x:v>0</x:v>
      </x:c>
      <x:c r="M45" s="20" t="str"/>
      <x:c r="N45" s="20" t="str"/>
      <x:c r="O45" s="20" t="str">
        <x:v>待复盘</x:v>
      </x:c>
      <x:c r="P45" s="14" t="str"/>
    </x:row>
  </x:sheetData>
  <x:conditionalFormatting sqref="O2:O45">
    <x:cfRule type="containsText" dxfId="0" priority="1" operator="containsText" text="命中"/>
    <x:cfRule type="containsText" dxfId="1" priority="2" operator="containsText" text="部分命中"/>
    <x:cfRule type="containsText" dxfId="2" priority="3" operator="containsText" text="未命中"/>
  </x:conditionalFormatting>
  <x:pageMargins left="0.7" right="0.7" top="0.75" bottom="0.75" header="0.3" footer="0.3"/>
  <x:tableParts count="1">
    <x:tablePart xmlns:r="http://schemas.openxmlformats.org/officeDocument/2006/relationships" r:id="Ra63eeac704ed4850"/>
  </x:tableParts>
</x:worksheet>
</file>