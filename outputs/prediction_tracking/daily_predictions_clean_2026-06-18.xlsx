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daily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<sst xmlns="http://schemas.openxmlformats.org/spreadsheetml/2006/main" count="400" uniqueCount="184">
  <si>
    <t>prediction_date</t>
  </si>
  <si>
    <t>target_date</t>
  </si>
  <si>
    <t>rank</t>
  </si>
  <si>
    <t>ticker</t>
  </si>
  <si>
    <t>name</t>
  </si>
  <si>
    <t>market</t>
  </si>
  <si>
    <t>prediction_type</t>
  </si>
  <si>
    <t>thesis</t>
  </si>
  <si>
    <t>trigger_condition</t>
  </si>
  <si>
    <t>invalidation_condition</t>
  </si>
  <si>
    <t>close_price</t>
  </si>
  <si>
    <t>change_pct</t>
  </si>
  <si>
    <t>triggered</t>
  </si>
  <si>
    <t>invalidated</t>
  </si>
  <si>
    <t>result</t>
  </si>
  <si>
    <t>review_note</t>
  </si>
  <si>
    <t>2026/6/14</t>
  </si>
  <si>
    <t>2026/6/15</t>
  </si>
  <si>
    <t>三花智控</t>
  </si>
  <si>
    <t>A股</t>
  </si>
  <si>
    <t>核心承接</t>
  </si>
  <si>
    <t>机器人/热管理主线，观察回踩不破后转强</t>
  </si>
  <si>
    <t>回踩不破并重新站稳短线均线</t>
  </si>
  <si>
    <t>跌破短线支撑并放量转弱</t>
  </si>
  <si>
    <t>是</t>
  </si>
  <si>
    <t>否</t>
  </si>
  <si>
    <t>命中</t>
  </si>
  <si>
    <t>根据复盘报告重建。趋势维持强势，符合第一梯队观察预期。</t>
  </si>
  <si>
    <t>晶盛机电</t>
  </si>
  <si>
    <t>高端制造/半导体设备方向，观察强势结构能否延续</t>
  </si>
  <si>
    <t>维持强趋势结构并转强</t>
  </si>
  <si>
    <t>高位震荡后跌破短线平台</t>
  </si>
  <si>
    <t>根据复盘报告重建。明显转强，超预期命中。</t>
  </si>
  <si>
    <t>西部材料</t>
  </si>
  <si>
    <t>弹性进攻</t>
  </si>
  <si>
    <t>材料方向轮动映射，观察是否放量站稳平台</t>
  </si>
  <si>
    <t>放量站稳并形成平台确认</t>
  </si>
  <si>
    <t>冲高回落且未站稳平台</t>
  </si>
  <si>
    <t>部分命中</t>
  </si>
  <si>
    <t>根据复盘报告重建。方向有表现但平台确认不足。</t>
  </si>
  <si>
    <t>中芯国际</t>
  </si>
  <si>
    <t>港股</t>
  </si>
  <si>
    <t>港股半导体主线，观察是否继续站稳短线平台</t>
  </si>
  <si>
    <t>站稳短线平台且强于同类</t>
  </si>
  <si>
    <t>跌破短线平台下方</t>
  </si>
  <si>
    <t>根据复盘报告重建。港股半导体主线兑现，第一梯队命中。</t>
  </si>
  <si>
    <t>小米集团-W</t>
  </si>
  <si>
    <t>稳健观察</t>
  </si>
  <si>
    <t>AI终端/智能硬件方向，观察是否走强</t>
  </si>
  <si>
    <t>继续放量且强于恒指</t>
  </si>
  <si>
    <t>冲高回落且弱于港股科技</t>
  </si>
  <si>
    <t>未命中</t>
  </si>
  <si>
    <t>根据复盘报告重建。未体现主线强度，降为观察。</t>
  </si>
  <si>
    <t>天赐材料</t>
  </si>
  <si>
    <t>轮动备选</t>
  </si>
  <si>
    <t>新能源材料轮动备选，观察是否出现资金回流</t>
  </si>
  <si>
    <t>放量修复并转强</t>
  </si>
  <si>
    <t>继续弱于市场且未修复关键位</t>
  </si>
  <si>
    <t>根据复盘报告重建。新能源轮动未出现，暂不进执行前排。</t>
  </si>
  <si>
    <t>柯力传感</t>
  </si>
  <si>
    <t>机器人传感器方向，观察能否稳定承接</t>
  </si>
  <si>
    <t>放量承接且强于机器人链</t>
  </si>
  <si>
    <t>冲高回落或弱于机器人链</t>
  </si>
  <si>
    <t>根据复盘报告重建。承接有效，适合作为跟踪样本。</t>
  </si>
  <si>
    <t>航天发展</t>
  </si>
  <si>
    <t>题材进攻</t>
  </si>
  <si>
    <t>军工/商业航天题材，观察情绪延续</t>
  </si>
  <si>
    <t>情绪延续且板块配合</t>
  </si>
  <si>
    <t>不能转强或跌回关键位</t>
  </si>
  <si>
    <t>根据复盘报告重建。题材冲高风险兑现，未形成有效进攻。</t>
  </si>
  <si>
    <t>优必选</t>
  </si>
  <si>
    <t>弹性观察</t>
  </si>
  <si>
    <t>机器人高弹性方向，观察是否继续发酵</t>
  </si>
  <si>
    <t>高弹性方向发酵且强于恒指</t>
  </si>
  <si>
    <t>冲高回落或跌破短线支撑</t>
  </si>
  <si>
    <t>根据复盘报告重建。高弹性兑现，命中。</t>
  </si>
  <si>
    <t>地平线机器人-W</t>
  </si>
  <si>
    <t>AI/机器人高弹性观察，验证是否跟随主线</t>
  </si>
  <si>
    <t>强于恒指并出现短线承接</t>
  </si>
  <si>
    <t>跌破短线支撑</t>
  </si>
  <si>
    <t>根据复盘报告重建。没有体现AI/机器人弹性，暂不纳入执行。</t>
  </si>
  <si>
    <t>越疆</t>
  </si>
  <si>
    <t>机器人高弹性观察，验证是否有短线共振</t>
  </si>
  <si>
    <t>强于恒指并有承接</t>
  </si>
  <si>
    <t>根据复盘报告重建。小幅修复但强度一般。</t>
  </si>
  <si>
    <t>2026/6/16</t>
  </si>
  <si>
    <t>强势上涨后看次日承接，避免追高</t>
  </si>
  <si>
    <t>回踩不破并维持强势平台</t>
  </si>
  <si>
    <t>高开回落且跌破短线承接位</t>
  </si>
  <si>
    <t>收盘51.69，较前日-0.88%，未转成收盘上涨，但仍守在强势平台附近，承接有但强度不足。</t>
  </si>
  <si>
    <t>半导体主线兑现后观察76-77港元附近能否站稳</t>
  </si>
  <si>
    <t>站稳76-77港元且强于同类</t>
  </si>
  <si>
    <t>跌回76港元下方</t>
  </si>
  <si>
    <t>收盘74.00，较前日-3.46%，跌回76港元下方，核心承接判断失效。</t>
  </si>
  <si>
    <t>稳健趋势票，等待回踩承接</t>
  </si>
  <si>
    <t>回踩44.7-45.0不破并转强</t>
  </si>
  <si>
    <t>跌破44.7且放量转弱</t>
  </si>
  <si>
    <t>收盘45.12，较前日-1.38%，低点44.90接近预设回踩区，未有效转强但未失效。</t>
  </si>
  <si>
    <t>英维克</t>
  </si>
  <si>
    <t>液冷方向转强，观察能否站稳70并继续上攻</t>
  </si>
  <si>
    <t>站稳70并挑战71.9-72</t>
  </si>
  <si>
    <t>跌破68.5</t>
  </si>
  <si>
    <t>收盘73.19，较前日+3.77%，站稳70并突破目标区，弹性进攻命中。</t>
  </si>
  <si>
    <t>永鼎股份</t>
  </si>
  <si>
    <t>光通信趋势强，观察52-53区间承接</t>
  </si>
  <si>
    <t>维持52-53上方且量能不萎缩</t>
  </si>
  <si>
    <t>跌破51</t>
  </si>
  <si>
    <t>收盘58.88，较前日+10.00%，全天维持52-53上方并显著走强。</t>
  </si>
  <si>
    <t>中国巨石</t>
  </si>
  <si>
    <t>涨停后观察次日承接，不追高</t>
  </si>
  <si>
    <t>开盘不差且44-45一带强承接</t>
  </si>
  <si>
    <t>高开冲高回落或跌破43</t>
  </si>
  <si>
    <t>收盘49.64，较前日+8.46%，方向正确但未给44-45理想承接点，属于高开超预期。</t>
  </si>
  <si>
    <t>中天科技</t>
  </si>
  <si>
    <t>光通信强趋势延续观察</t>
  </si>
  <si>
    <t>继续强于市场并维持短线强势</t>
  </si>
  <si>
    <t>跌破短线平台</t>
  </si>
  <si>
    <t>收盘54.15，较前日+5.45%，延续强趋势，稳健观察命中。</t>
  </si>
  <si>
    <t>蓝思科技H</t>
  </si>
  <si>
    <t>港股AI硬件强势后看次日承接</t>
  </si>
  <si>
    <t>继续放量且强于恒指并不冲高回落</t>
  </si>
  <si>
    <t>明显跌回前日突破位</t>
  </si>
  <si>
    <t>收盘27.82，较前日+5.62%，延续放量强势且收盘接近高位。</t>
  </si>
  <si>
    <t>2026/6/17</t>
  </si>
  <si>
    <t>非规则票</t>
  </si>
  <si>
    <t>锂电材料低位强修复，观察是否站稳短线均线</t>
  </si>
  <si>
    <t>站稳51.5-52.0并继续放量</t>
  </si>
  <si>
    <t>跌破50.9或跌回51.5</t>
  </si>
  <si>
    <t>非原交易规则票。收盘52.85，较前日+1.09%，守住51.5-52.0并继续维持修复结构。</t>
  </si>
  <si>
    <t>液冷/算力方向继续强，观察能否站稳20日线</t>
  </si>
  <si>
    <t>站稳72-73并强于指数</t>
  </si>
  <si>
    <t>跌破70或跌回72</t>
  </si>
  <si>
    <t>非原交易规则票。收盘74.62，较前日+1.95%，站稳72-73，趋势延续。</t>
  </si>
  <si>
    <t>港股AI硬件延续强势，核心短线继续上攻</t>
  </si>
  <si>
    <t>站稳27.5并强于恒指</t>
  </si>
  <si>
    <t>跌破26.8或冲高回落</t>
  </si>
  <si>
    <t>非原交易规则票。收盘28.28，较前日+7.37%，强于恒指并站稳27.5。</t>
  </si>
  <si>
    <t>东睦股份</t>
  </si>
  <si>
    <t>高端制造/粉末冶金趋势延续，观察平台突破</t>
  </si>
  <si>
    <t>站稳42并突破43</t>
  </si>
  <si>
    <t>跌破41.8且放量回落</t>
  </si>
  <si>
    <t>非原交易规则票。收盘43.24，较前日+2.10%，站稳42并突破43，趋势仍在。</t>
  </si>
  <si>
    <t>蓝色光标</t>
  </si>
  <si>
    <t>AI传媒低位补涨，观察能否放量修复</t>
  </si>
  <si>
    <t>放量站稳15.3-15.5</t>
  </si>
  <si>
    <t>跌破14.8且量能继续走弱</t>
  </si>
  <si>
    <t>非原交易规则票。收盘14.95，较前日-0.86%，未站上15.3-15.5，补涨修复未兑现。</t>
  </si>
  <si>
    <t>非规则高风险观察</t>
  </si>
  <si>
    <t>材料方向连续上涨，观察强势后承接但不追高</t>
  </si>
  <si>
    <t>站稳48且维持高位承接</t>
  </si>
  <si>
    <t>跌破47或高开冲高回落</t>
  </si>
  <si>
    <t>非原交易规则票。收盘54.60，较前日+9.99%，强者恒强兑现，但已明显加速。</t>
  </si>
  <si>
    <t>2026/6/18</t>
  </si>
  <si>
    <t>光通信/算力液冷延续强势，观察回踩承接后能否再上攻</t>
  </si>
  <si>
    <t>守住72-73，并重新向75.5上方尝试</t>
  </si>
  <si>
    <t>跌破72且放量走弱</t>
  </si>
  <si>
    <t>收盘74.37，较前日-0.34%，盘中上冲75.5上方但收盘回落翻绿，守住72-73承接位，方向对但确认度不够。</t>
  </si>
  <si>
    <t>光通信趋势维持，观察是否继续稳步上攻</t>
  </si>
  <si>
    <t>守住54附近，并重新挑战56.3</t>
  </si>
  <si>
    <t>跌破52.6且放量回落</t>
  </si>
  <si>
    <t>收盘56.55，较前日+2.99%，守住54附近并突破56.3，稳健趋势延续。</t>
  </si>
  <si>
    <t>AI硬件/消费电子强势后观察是否继续放量上冲</t>
  </si>
  <si>
    <t>站稳27.5-28.0，突破29.1更强</t>
  </si>
  <si>
    <t>跌回27.0且冲高回落明显</t>
  </si>
  <si>
    <t>收盘29.96港元，较前日+5.94%，站稳27.5-28.0并突破29.1，弹性进攻确认命中。此前误把昨收28.28录成今日收盘，已更正。</t>
  </si>
  <si>
    <t>兴森科技</t>
  </si>
  <si>
    <t>PCB/封装基板方向转强，观察能否延续放量突破</t>
  </si>
  <si>
    <t>守住46-47，并继续强于半导体链</t>
  </si>
  <si>
    <t>跌破45且放量回落</t>
  </si>
  <si>
    <t>收盘52.06，较前日+8.91%，守住46-47并显著强于半导体链，弹性延续。</t>
  </si>
  <si>
    <t>风华高科</t>
  </si>
  <si>
    <t>被动元件趋势修复，观察是否继续稳住关键区间</t>
  </si>
  <si>
    <t>守住72-74区间，并继续强于板块</t>
  </si>
  <si>
    <t>跌破70且放量走弱</t>
  </si>
  <si>
    <t>收盘74.60，较前日+0.73%，守住72-74区间且继续偏强，稳健观察命中。</t>
  </si>
  <si>
    <t>通富微电</t>
  </si>
  <si>
    <t>半导体封测转强，观察是否继续上攻</t>
  </si>
  <si>
    <t>守住65-67，并继续上攻；突破69更强</t>
  </si>
  <si>
    <t>跌破63且放量回落</t>
  </si>
  <si>
    <t>收盘68.27，较前日+1.56%，守住65-67并上冲69上方，半导体封测延续。</t>
  </si>
  <si>
    <t>高端制造/机器人链延续，观察平台承接后能否再上攻</t>
  </si>
  <si>
    <t>守住42.8-43.0并重新上攻；突破45.15更强</t>
  </si>
  <si>
    <t>跌破42.0且放量转弱</t>
  </si>
  <si>
    <t>收盘43.85，较前日+1.41%，守住42.8-43.0并突破45.15后回落但仍收强，承接有效。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</si>
</sst>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top"/>
    </xf>
    <xf numFmtId="49" fontId="2" fillId="0" borderId="1" xfId="49" applyNumberFormat="1" applyFont="1" applyFill="1" applyBorder="1" applyAlignment="1">
      <alignment vertical="top"/>
    </xf>
    <xf numFmtId="0" fontId="2" fillId="0" borderId="1" xfId="49" applyNumberFormat="1" applyFont="1" applyFill="1" applyBorder="1" applyAlignment="1">
      <alignment vertical="top"/>
    </xf>
    <xf numFmtId="0" fontId="2" fillId="0" borderId="1" xfId="49" applyNumberFormat="1" applyFont="1" applyFill="1" applyBorder="1" applyAlignment="1">
      <alignment vertical="top" wrapText="1"/>
    </xf>
    <xf numFmtId="2" fontId="2" fillId="0" borderId="1" xfId="49" applyNumberFormat="1" applyFont="1" applyFill="1" applyBorder="1" applyAlignment="1">
      <alignment horizontal="right" vertical="top"/>
    </xf>
    <xf numFmtId="10" fontId="2" fillId="0" borderId="1" xfId="49" applyNumberFormat="1" applyFont="1" applyFill="1" applyBorder="1" applyAlignment="1">
      <alignment horizontal="right" vertical="top"/>
    </xf>
    <xf numFmtId="0" fontId="2" fillId="0" borderId="1" xfId="49" applyNumberFormat="1" applyFont="1" applyFill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ilyPredictionsTable" displayName="DailyPredictionsTable" ref="A1:P33">
  <tableColumns count="16">
    <tableColumn id="1" name="prediction_date"/>
    <tableColumn id="2" name="target_date"/>
    <tableColumn id="3" name="rank"/>
    <tableColumn id="4" name="ticker"/>
    <tableColumn id="5" name="name"/>
    <tableColumn id="6" name="market"/>
    <tableColumn id="7" name="prediction_type"/>
    <tableColumn id="8" name="thesis"/>
    <tableColumn id="9" name="trigger_condition"/>
    <tableColumn id="10" name="invalidation_condition"/>
    <tableColumn id="11" name="close_price"/>
    <tableColumn id="12" name="change_pct"/>
    <tableColumn id="13" name="triggered"/>
    <tableColumn id="14" name="invalidated"/>
    <tableColumn id="15" name="result"/>
    <tableColumn id="16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zoomScale="80" zoomScaleNormal="80" workbookViewId="0">
      <selection activeCell="A1" sqref="A1"/>
    </sheetView>
  </sheetViews>
  <sheetFormatPr defaultColWidth="9" defaultRowHeight="14"/>
  <cols>
    <col min="1" max="2" width="11.8833333333333" customWidth="1"/>
    <col min="3" max="3" width="6.25" customWidth="1"/>
    <col min="4" max="4" width="11.25" customWidth="1"/>
    <col min="5" max="5" width="15" customWidth="1"/>
    <col min="6" max="6" width="8.75" customWidth="1"/>
    <col min="7" max="7" width="11.8833333333333" customWidth="1"/>
    <col min="8" max="9" width="32.5" customWidth="1"/>
    <col min="10" max="10" width="30" customWidth="1"/>
    <col min="11" max="12" width="10.6333333333333" customWidth="1"/>
    <col min="13" max="14" width="8.75" customWidth="1"/>
    <col min="15" max="15" width="11.25" customWidth="1"/>
    <col min="16" max="16" width="52.5" customWidth="1"/>
  </cols>
  <sheetData>
    <row r="1" ht="14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5" spans="1:16">
      <c r="A2" s="2" t="s">
        <v>16</v>
      </c>
      <c r="B2" s="2" t="s">
        <v>17</v>
      </c>
      <c r="C2" s="3">
        <v>1</v>
      </c>
      <c r="D2" s="2" t="str">
        <f>TEXT(2050,"000000")</f>
        <v>002050</v>
      </c>
      <c r="E2" s="3" t="s">
        <v>18</v>
      </c>
      <c r="F2" s="3" t="s">
        <v>19</v>
      </c>
      <c r="G2" s="3" t="s">
        <v>20</v>
      </c>
      <c r="H2" s="4" t="s">
        <v>21</v>
      </c>
      <c r="I2" s="4" t="s">
        <v>22</v>
      </c>
      <c r="J2" s="4" t="s">
        <v>23</v>
      </c>
      <c r="K2" s="5">
        <v>45.75</v>
      </c>
      <c r="L2" s="6">
        <v>0.021</v>
      </c>
      <c r="M2" s="7" t="s">
        <v>24</v>
      </c>
      <c r="N2" s="7" t="s">
        <v>25</v>
      </c>
      <c r="O2" s="7" t="s">
        <v>26</v>
      </c>
      <c r="P2" s="4" t="s">
        <v>27</v>
      </c>
    </row>
    <row r="3" ht="29" spans="1:16">
      <c r="A3" s="2" t="s">
        <v>16</v>
      </c>
      <c r="B3" s="2" t="s">
        <v>17</v>
      </c>
      <c r="C3" s="3">
        <v>2</v>
      </c>
      <c r="D3" s="2" t="str">
        <f>TEXT(300316,"000000")</f>
        <v>300316</v>
      </c>
      <c r="E3" s="3" t="s">
        <v>28</v>
      </c>
      <c r="F3" s="3" t="s">
        <v>19</v>
      </c>
      <c r="G3" s="3" t="s">
        <v>20</v>
      </c>
      <c r="H3" s="4" t="s">
        <v>29</v>
      </c>
      <c r="I3" s="4" t="s">
        <v>30</v>
      </c>
      <c r="J3" s="4" t="s">
        <v>31</v>
      </c>
      <c r="K3" s="5">
        <v>52.15</v>
      </c>
      <c r="L3" s="6">
        <v>0.1077</v>
      </c>
      <c r="M3" s="7" t="s">
        <v>24</v>
      </c>
      <c r="N3" s="7" t="s">
        <v>25</v>
      </c>
      <c r="O3" s="7" t="s">
        <v>26</v>
      </c>
      <c r="P3" s="4" t="s">
        <v>32</v>
      </c>
    </row>
    <row r="4" ht="14.5" spans="1:16">
      <c r="A4" s="2" t="s">
        <v>16</v>
      </c>
      <c r="B4" s="2" t="s">
        <v>17</v>
      </c>
      <c r="C4" s="3">
        <v>3</v>
      </c>
      <c r="D4" s="2" t="str">
        <f>TEXT(2149,"000000")</f>
        <v>002149</v>
      </c>
      <c r="E4" s="3" t="s">
        <v>33</v>
      </c>
      <c r="F4" s="3" t="s">
        <v>19</v>
      </c>
      <c r="G4" s="3" t="s">
        <v>34</v>
      </c>
      <c r="H4" s="4" t="s">
        <v>35</v>
      </c>
      <c r="I4" s="4" t="s">
        <v>36</v>
      </c>
      <c r="J4" s="4" t="s">
        <v>37</v>
      </c>
      <c r="K4" s="5">
        <v>59.8</v>
      </c>
      <c r="L4" s="6">
        <v>0</v>
      </c>
      <c r="M4" s="7" t="s">
        <v>24</v>
      </c>
      <c r="N4" s="7" t="s">
        <v>25</v>
      </c>
      <c r="O4" s="7" t="s">
        <v>38</v>
      </c>
      <c r="P4" s="4" t="s">
        <v>39</v>
      </c>
    </row>
    <row r="5" ht="29" spans="1:16">
      <c r="A5" s="2" t="s">
        <v>16</v>
      </c>
      <c r="B5" s="2" t="s">
        <v>17</v>
      </c>
      <c r="C5" s="3">
        <v>4</v>
      </c>
      <c r="D5" s="2" t="str">
        <f>"0981.HK"</f>
        <v>0981.HK</v>
      </c>
      <c r="E5" s="3" t="s">
        <v>40</v>
      </c>
      <c r="F5" s="3" t="s">
        <v>41</v>
      </c>
      <c r="G5" s="3" t="s">
        <v>20</v>
      </c>
      <c r="H5" s="4" t="s">
        <v>42</v>
      </c>
      <c r="I5" s="4" t="s">
        <v>43</v>
      </c>
      <c r="J5" s="4" t="s">
        <v>44</v>
      </c>
      <c r="K5" s="5">
        <v>76.65</v>
      </c>
      <c r="L5" s="6">
        <v>0.0698</v>
      </c>
      <c r="M5" s="7" t="s">
        <v>24</v>
      </c>
      <c r="N5" s="7" t="s">
        <v>25</v>
      </c>
      <c r="O5" s="7" t="s">
        <v>26</v>
      </c>
      <c r="P5" s="4" t="s">
        <v>45</v>
      </c>
    </row>
    <row r="6" ht="14.5" spans="1:16">
      <c r="A6" s="2" t="s">
        <v>16</v>
      </c>
      <c r="B6" s="2" t="s">
        <v>17</v>
      </c>
      <c r="C6" s="3">
        <v>5</v>
      </c>
      <c r="D6" s="2" t="str">
        <f>"1810.HK"</f>
        <v>1810.HK</v>
      </c>
      <c r="E6" s="3" t="s">
        <v>46</v>
      </c>
      <c r="F6" s="3" t="s">
        <v>41</v>
      </c>
      <c r="G6" s="3" t="s">
        <v>47</v>
      </c>
      <c r="H6" s="4" t="s">
        <v>48</v>
      </c>
      <c r="I6" s="4" t="s">
        <v>49</v>
      </c>
      <c r="J6" s="4" t="s">
        <v>50</v>
      </c>
      <c r="K6" s="5">
        <v>26.26</v>
      </c>
      <c r="L6" s="6">
        <v>0.0023</v>
      </c>
      <c r="M6" s="7" t="s">
        <v>25</v>
      </c>
      <c r="N6" s="7" t="s">
        <v>25</v>
      </c>
      <c r="O6" s="7" t="s">
        <v>51</v>
      </c>
      <c r="P6" s="4" t="s">
        <v>52</v>
      </c>
    </row>
    <row r="7" ht="29" spans="1:16">
      <c r="A7" s="2" t="s">
        <v>16</v>
      </c>
      <c r="B7" s="2" t="s">
        <v>17</v>
      </c>
      <c r="C7" s="3">
        <v>6</v>
      </c>
      <c r="D7" s="2" t="str">
        <f>TEXT(2709,"000000")</f>
        <v>002709</v>
      </c>
      <c r="E7" s="3" t="s">
        <v>53</v>
      </c>
      <c r="F7" s="3" t="s">
        <v>19</v>
      </c>
      <c r="G7" s="3" t="s">
        <v>54</v>
      </c>
      <c r="H7" s="4" t="s">
        <v>55</v>
      </c>
      <c r="I7" s="4" t="s">
        <v>56</v>
      </c>
      <c r="J7" s="4" t="s">
        <v>57</v>
      </c>
      <c r="K7" s="5">
        <v>49.02</v>
      </c>
      <c r="L7" s="6">
        <v>-0.0125</v>
      </c>
      <c r="M7" s="7" t="s">
        <v>25</v>
      </c>
      <c r="N7" s="7" t="s">
        <v>25</v>
      </c>
      <c r="O7" s="7" t="s">
        <v>51</v>
      </c>
      <c r="P7" s="4" t="s">
        <v>58</v>
      </c>
    </row>
    <row r="8" ht="14.5" spans="1:16">
      <c r="A8" s="2" t="s">
        <v>16</v>
      </c>
      <c r="B8" s="2" t="s">
        <v>17</v>
      </c>
      <c r="C8" s="3">
        <v>7</v>
      </c>
      <c r="D8" s="2" t="str">
        <f>TEXT(603662,"000000")</f>
        <v>603662</v>
      </c>
      <c r="E8" s="3" t="s">
        <v>59</v>
      </c>
      <c r="F8" s="3" t="s">
        <v>19</v>
      </c>
      <c r="G8" s="3" t="s">
        <v>47</v>
      </c>
      <c r="H8" s="4" t="s">
        <v>60</v>
      </c>
      <c r="I8" s="4" t="s">
        <v>61</v>
      </c>
      <c r="J8" s="4" t="s">
        <v>62</v>
      </c>
      <c r="K8" s="5">
        <v>66.6</v>
      </c>
      <c r="L8" s="6">
        <v>0.0351</v>
      </c>
      <c r="M8" s="7" t="s">
        <v>24</v>
      </c>
      <c r="N8" s="7" t="s">
        <v>25</v>
      </c>
      <c r="O8" s="7" t="s">
        <v>26</v>
      </c>
      <c r="P8" s="4" t="s">
        <v>63</v>
      </c>
    </row>
    <row r="9" ht="14.5" spans="1:16">
      <c r="A9" s="2" t="s">
        <v>16</v>
      </c>
      <c r="B9" s="2" t="s">
        <v>17</v>
      </c>
      <c r="C9" s="3">
        <v>8</v>
      </c>
      <c r="D9" s="2" t="str">
        <f>TEXT(547,"000000")</f>
        <v>000547</v>
      </c>
      <c r="E9" s="3" t="s">
        <v>64</v>
      </c>
      <c r="F9" s="3" t="s">
        <v>19</v>
      </c>
      <c r="G9" s="3" t="s">
        <v>65</v>
      </c>
      <c r="H9" s="4" t="s">
        <v>66</v>
      </c>
      <c r="I9" s="4" t="s">
        <v>67</v>
      </c>
      <c r="J9" s="4" t="s">
        <v>68</v>
      </c>
      <c r="K9" s="5">
        <v>19.92</v>
      </c>
      <c r="L9" s="6">
        <v>-0.0354</v>
      </c>
      <c r="M9" s="7" t="s">
        <v>25</v>
      </c>
      <c r="N9" s="7" t="s">
        <v>24</v>
      </c>
      <c r="O9" s="7" t="s">
        <v>51</v>
      </c>
      <c r="P9" s="4" t="s">
        <v>69</v>
      </c>
    </row>
    <row r="10" ht="14.5" spans="1:16">
      <c r="A10" s="2" t="s">
        <v>16</v>
      </c>
      <c r="B10" s="2" t="s">
        <v>17</v>
      </c>
      <c r="C10" s="3">
        <v>9</v>
      </c>
      <c r="D10" s="2" t="str">
        <f>"9880.HK"</f>
        <v>9880.HK</v>
      </c>
      <c r="E10" s="3" t="s">
        <v>70</v>
      </c>
      <c r="F10" s="3" t="s">
        <v>41</v>
      </c>
      <c r="G10" s="3" t="s">
        <v>71</v>
      </c>
      <c r="H10" s="4" t="s">
        <v>72</v>
      </c>
      <c r="I10" s="4" t="s">
        <v>73</v>
      </c>
      <c r="J10" s="4" t="s">
        <v>74</v>
      </c>
      <c r="K10" s="5">
        <v>113.5</v>
      </c>
      <c r="L10" s="6">
        <v>0.0627</v>
      </c>
      <c r="M10" s="7" t="s">
        <v>24</v>
      </c>
      <c r="N10" s="7" t="s">
        <v>25</v>
      </c>
      <c r="O10" s="7" t="s">
        <v>26</v>
      </c>
      <c r="P10" s="4" t="s">
        <v>75</v>
      </c>
    </row>
    <row r="11" ht="14.5" spans="1:16">
      <c r="A11" s="2" t="s">
        <v>16</v>
      </c>
      <c r="B11" s="2" t="s">
        <v>17</v>
      </c>
      <c r="C11" s="3">
        <v>10</v>
      </c>
      <c r="D11" s="2" t="str">
        <f>"9660.HK"</f>
        <v>9660.HK</v>
      </c>
      <c r="E11" s="3" t="s">
        <v>76</v>
      </c>
      <c r="F11" s="3" t="s">
        <v>41</v>
      </c>
      <c r="G11" s="3" t="s">
        <v>71</v>
      </c>
      <c r="H11" s="4" t="s">
        <v>77</v>
      </c>
      <c r="I11" s="4" t="s">
        <v>78</v>
      </c>
      <c r="J11" s="4" t="s">
        <v>79</v>
      </c>
      <c r="K11" s="5">
        <v>4.65</v>
      </c>
      <c r="L11" s="6">
        <v>-0.0106</v>
      </c>
      <c r="M11" s="7" t="s">
        <v>25</v>
      </c>
      <c r="N11" s="7" t="s">
        <v>25</v>
      </c>
      <c r="O11" s="7" t="s">
        <v>51</v>
      </c>
      <c r="P11" s="4" t="s">
        <v>80</v>
      </c>
    </row>
    <row r="12" ht="14.5" spans="1:16">
      <c r="A12" s="2" t="s">
        <v>16</v>
      </c>
      <c r="B12" s="2" t="s">
        <v>17</v>
      </c>
      <c r="C12" s="3">
        <v>11</v>
      </c>
      <c r="D12" s="2" t="str">
        <f>"2432.HK"</f>
        <v>2432.HK</v>
      </c>
      <c r="E12" s="3" t="s">
        <v>81</v>
      </c>
      <c r="F12" s="3" t="s">
        <v>41</v>
      </c>
      <c r="G12" s="3" t="s">
        <v>71</v>
      </c>
      <c r="H12" s="4" t="s">
        <v>82</v>
      </c>
      <c r="I12" s="4" t="s">
        <v>83</v>
      </c>
      <c r="J12" s="4" t="s">
        <v>62</v>
      </c>
      <c r="K12" s="5">
        <v>28.34</v>
      </c>
      <c r="L12" s="6">
        <v>0.0165</v>
      </c>
      <c r="M12" s="7" t="s">
        <v>24</v>
      </c>
      <c r="N12" s="7" t="s">
        <v>25</v>
      </c>
      <c r="O12" s="7" t="s">
        <v>38</v>
      </c>
      <c r="P12" s="4" t="s">
        <v>84</v>
      </c>
    </row>
    <row r="13" ht="29" spans="1:16">
      <c r="A13" s="2" t="s">
        <v>17</v>
      </c>
      <c r="B13" s="2" t="s">
        <v>85</v>
      </c>
      <c r="C13" s="3">
        <v>1</v>
      </c>
      <c r="D13" s="2" t="str">
        <f>TEXT(300316,"000000")</f>
        <v>300316</v>
      </c>
      <c r="E13" s="3" t="s">
        <v>28</v>
      </c>
      <c r="F13" s="3" t="s">
        <v>19</v>
      </c>
      <c r="G13" s="3" t="s">
        <v>20</v>
      </c>
      <c r="H13" s="4" t="s">
        <v>86</v>
      </c>
      <c r="I13" s="4" t="s">
        <v>87</v>
      </c>
      <c r="J13" s="4" t="s">
        <v>88</v>
      </c>
      <c r="K13" s="5">
        <v>51.69</v>
      </c>
      <c r="L13" s="6">
        <v>-0.0088</v>
      </c>
      <c r="M13" s="7" t="s">
        <v>24</v>
      </c>
      <c r="N13" s="7" t="s">
        <v>25</v>
      </c>
      <c r="O13" s="7" t="s">
        <v>38</v>
      </c>
      <c r="P13" s="4" t="s">
        <v>89</v>
      </c>
    </row>
    <row r="14" ht="29" spans="1:16">
      <c r="A14" s="2" t="s">
        <v>17</v>
      </c>
      <c r="B14" s="2" t="s">
        <v>85</v>
      </c>
      <c r="C14" s="3">
        <v>2</v>
      </c>
      <c r="D14" s="2" t="str">
        <f>"0981.HK"</f>
        <v>0981.HK</v>
      </c>
      <c r="E14" s="3" t="s">
        <v>40</v>
      </c>
      <c r="F14" s="3" t="s">
        <v>41</v>
      </c>
      <c r="G14" s="3" t="s">
        <v>20</v>
      </c>
      <c r="H14" s="4" t="s">
        <v>90</v>
      </c>
      <c r="I14" s="4" t="s">
        <v>91</v>
      </c>
      <c r="J14" s="4" t="s">
        <v>92</v>
      </c>
      <c r="K14" s="5">
        <v>74</v>
      </c>
      <c r="L14" s="6">
        <v>-0.0346</v>
      </c>
      <c r="M14" s="7" t="s">
        <v>25</v>
      </c>
      <c r="N14" s="7" t="s">
        <v>24</v>
      </c>
      <c r="O14" s="7" t="s">
        <v>51</v>
      </c>
      <c r="P14" s="4" t="s">
        <v>93</v>
      </c>
    </row>
    <row r="15" ht="29" spans="1:16">
      <c r="A15" s="2" t="s">
        <v>17</v>
      </c>
      <c r="B15" s="2" t="s">
        <v>85</v>
      </c>
      <c r="C15" s="3">
        <v>3</v>
      </c>
      <c r="D15" s="2" t="str">
        <f>TEXT(2050,"000000")</f>
        <v>002050</v>
      </c>
      <c r="E15" s="3" t="s">
        <v>18</v>
      </c>
      <c r="F15" s="3" t="s">
        <v>19</v>
      </c>
      <c r="G15" s="3" t="s">
        <v>47</v>
      </c>
      <c r="H15" s="4" t="s">
        <v>94</v>
      </c>
      <c r="I15" s="4" t="s">
        <v>95</v>
      </c>
      <c r="J15" s="4" t="s">
        <v>96</v>
      </c>
      <c r="K15" s="5">
        <v>45.12</v>
      </c>
      <c r="L15" s="6">
        <v>-0.0138</v>
      </c>
      <c r="M15" s="7" t="s">
        <v>24</v>
      </c>
      <c r="N15" s="7" t="s">
        <v>25</v>
      </c>
      <c r="O15" s="7" t="s">
        <v>38</v>
      </c>
      <c r="P15" s="4" t="s">
        <v>97</v>
      </c>
    </row>
    <row r="16" ht="29" spans="1:16">
      <c r="A16" s="2" t="s">
        <v>17</v>
      </c>
      <c r="B16" s="2" t="s">
        <v>85</v>
      </c>
      <c r="C16" s="3">
        <v>4</v>
      </c>
      <c r="D16" s="2" t="str">
        <f>TEXT(2837,"000000")</f>
        <v>002837</v>
      </c>
      <c r="E16" s="3" t="s">
        <v>98</v>
      </c>
      <c r="F16" s="3" t="s">
        <v>19</v>
      </c>
      <c r="G16" s="3" t="s">
        <v>34</v>
      </c>
      <c r="H16" s="4" t="s">
        <v>99</v>
      </c>
      <c r="I16" s="4" t="s">
        <v>100</v>
      </c>
      <c r="J16" s="4" t="s">
        <v>101</v>
      </c>
      <c r="K16" s="5">
        <v>73.19</v>
      </c>
      <c r="L16" s="6">
        <v>0.0377</v>
      </c>
      <c r="M16" s="7" t="s">
        <v>24</v>
      </c>
      <c r="N16" s="7" t="s">
        <v>25</v>
      </c>
      <c r="O16" s="7" t="s">
        <v>26</v>
      </c>
      <c r="P16" s="4" t="s">
        <v>102</v>
      </c>
    </row>
    <row r="17" ht="14.5" spans="1:16">
      <c r="A17" s="2" t="s">
        <v>17</v>
      </c>
      <c r="B17" s="2" t="s">
        <v>85</v>
      </c>
      <c r="C17" s="3">
        <v>5</v>
      </c>
      <c r="D17" s="2" t="str">
        <f>TEXT(600105,"000000")</f>
        <v>600105</v>
      </c>
      <c r="E17" s="3" t="s">
        <v>103</v>
      </c>
      <c r="F17" s="3" t="s">
        <v>19</v>
      </c>
      <c r="G17" s="3" t="s">
        <v>47</v>
      </c>
      <c r="H17" s="4" t="s">
        <v>104</v>
      </c>
      <c r="I17" s="4" t="s">
        <v>105</v>
      </c>
      <c r="J17" s="4" t="s">
        <v>106</v>
      </c>
      <c r="K17" s="5">
        <v>58.88</v>
      </c>
      <c r="L17" s="6">
        <v>0.1</v>
      </c>
      <c r="M17" s="7" t="s">
        <v>24</v>
      </c>
      <c r="N17" s="7" t="s">
        <v>25</v>
      </c>
      <c r="O17" s="7" t="s">
        <v>26</v>
      </c>
      <c r="P17" s="4" t="s">
        <v>107</v>
      </c>
    </row>
    <row r="18" ht="29" spans="1:16">
      <c r="A18" s="2" t="s">
        <v>17</v>
      </c>
      <c r="B18" s="2" t="s">
        <v>85</v>
      </c>
      <c r="C18" s="3">
        <v>6</v>
      </c>
      <c r="D18" s="2" t="str">
        <f>TEXT(600176,"000000")</f>
        <v>600176</v>
      </c>
      <c r="E18" s="3" t="s">
        <v>108</v>
      </c>
      <c r="F18" s="3" t="s">
        <v>19</v>
      </c>
      <c r="G18" s="3" t="s">
        <v>34</v>
      </c>
      <c r="H18" s="4" t="s">
        <v>109</v>
      </c>
      <c r="I18" s="4" t="s">
        <v>110</v>
      </c>
      <c r="J18" s="4" t="s">
        <v>111</v>
      </c>
      <c r="K18" s="5">
        <v>49.64</v>
      </c>
      <c r="L18" s="6">
        <v>0.0846</v>
      </c>
      <c r="M18" s="7" t="s">
        <v>24</v>
      </c>
      <c r="N18" s="7" t="s">
        <v>25</v>
      </c>
      <c r="O18" s="7" t="s">
        <v>38</v>
      </c>
      <c r="P18" s="4" t="s">
        <v>112</v>
      </c>
    </row>
    <row r="19" ht="14.5" spans="1:16">
      <c r="A19" s="2" t="s">
        <v>17</v>
      </c>
      <c r="B19" s="2" t="s">
        <v>85</v>
      </c>
      <c r="C19" s="3">
        <v>7</v>
      </c>
      <c r="D19" s="2" t="str">
        <f>TEXT(600522,"000000")</f>
        <v>600522</v>
      </c>
      <c r="E19" s="3" t="s">
        <v>113</v>
      </c>
      <c r="F19" s="3" t="s">
        <v>19</v>
      </c>
      <c r="G19" s="3" t="s">
        <v>47</v>
      </c>
      <c r="H19" s="4" t="s">
        <v>114</v>
      </c>
      <c r="I19" s="4" t="s">
        <v>115</v>
      </c>
      <c r="J19" s="4" t="s">
        <v>116</v>
      </c>
      <c r="K19" s="5">
        <v>54.15</v>
      </c>
      <c r="L19" s="6">
        <v>0.0545</v>
      </c>
      <c r="M19" s="7" t="s">
        <v>24</v>
      </c>
      <c r="N19" s="7" t="s">
        <v>25</v>
      </c>
      <c r="O19" s="7" t="s">
        <v>26</v>
      </c>
      <c r="P19" s="4" t="s">
        <v>117</v>
      </c>
    </row>
    <row r="20" ht="14.5" spans="1:16">
      <c r="A20" s="2" t="s">
        <v>17</v>
      </c>
      <c r="B20" s="2" t="s">
        <v>85</v>
      </c>
      <c r="C20" s="3">
        <v>8</v>
      </c>
      <c r="D20" s="2" t="str">
        <f>"06613.HK"</f>
        <v>06613.HK</v>
      </c>
      <c r="E20" s="3" t="s">
        <v>118</v>
      </c>
      <c r="F20" s="3" t="s">
        <v>41</v>
      </c>
      <c r="G20" s="3" t="s">
        <v>34</v>
      </c>
      <c r="H20" s="4" t="s">
        <v>119</v>
      </c>
      <c r="I20" s="4" t="s">
        <v>120</v>
      </c>
      <c r="J20" s="4" t="s">
        <v>121</v>
      </c>
      <c r="K20" s="5">
        <v>27.82</v>
      </c>
      <c r="L20" s="6">
        <v>0.0562</v>
      </c>
      <c r="M20" s="7" t="s">
        <v>24</v>
      </c>
      <c r="N20" s="7" t="s">
        <v>25</v>
      </c>
      <c r="O20" s="7" t="s">
        <v>26</v>
      </c>
      <c r="P20" s="4" t="s">
        <v>122</v>
      </c>
    </row>
    <row r="21" ht="29" spans="1:16">
      <c r="A21" s="2" t="s">
        <v>85</v>
      </c>
      <c r="B21" s="2" t="s">
        <v>123</v>
      </c>
      <c r="C21" s="3">
        <v>1</v>
      </c>
      <c r="D21" s="2" t="str">
        <f>TEXT(2709,"000000")</f>
        <v>002709</v>
      </c>
      <c r="E21" s="3" t="s">
        <v>53</v>
      </c>
      <c r="F21" s="3" t="s">
        <v>19</v>
      </c>
      <c r="G21" s="3" t="s">
        <v>124</v>
      </c>
      <c r="H21" s="4" t="s">
        <v>125</v>
      </c>
      <c r="I21" s="4" t="s">
        <v>126</v>
      </c>
      <c r="J21" s="4" t="s">
        <v>127</v>
      </c>
      <c r="K21" s="5">
        <v>52.85</v>
      </c>
      <c r="L21" s="6">
        <v>0.0109</v>
      </c>
      <c r="M21" s="7" t="s">
        <v>24</v>
      </c>
      <c r="N21" s="7" t="s">
        <v>25</v>
      </c>
      <c r="O21" s="7" t="s">
        <v>26</v>
      </c>
      <c r="P21" s="4" t="s">
        <v>128</v>
      </c>
    </row>
    <row r="22" ht="29" spans="1:16">
      <c r="A22" s="2" t="s">
        <v>85</v>
      </c>
      <c r="B22" s="2" t="s">
        <v>123</v>
      </c>
      <c r="C22" s="3">
        <v>2</v>
      </c>
      <c r="D22" s="2" t="str">
        <f>TEXT(2837,"000000")</f>
        <v>002837</v>
      </c>
      <c r="E22" s="3" t="s">
        <v>98</v>
      </c>
      <c r="F22" s="3" t="s">
        <v>19</v>
      </c>
      <c r="G22" s="3" t="s">
        <v>124</v>
      </c>
      <c r="H22" s="4" t="s">
        <v>129</v>
      </c>
      <c r="I22" s="4" t="s">
        <v>130</v>
      </c>
      <c r="J22" s="4" t="s">
        <v>131</v>
      </c>
      <c r="K22" s="5">
        <v>74.62</v>
      </c>
      <c r="L22" s="6">
        <v>0.0195</v>
      </c>
      <c r="M22" s="7" t="s">
        <v>24</v>
      </c>
      <c r="N22" s="7" t="s">
        <v>25</v>
      </c>
      <c r="O22" s="7" t="s">
        <v>26</v>
      </c>
      <c r="P22" s="4" t="s">
        <v>132</v>
      </c>
    </row>
    <row r="23" ht="29" spans="1:16">
      <c r="A23" s="2" t="s">
        <v>85</v>
      </c>
      <c r="B23" s="2" t="s">
        <v>123</v>
      </c>
      <c r="C23" s="3">
        <v>3</v>
      </c>
      <c r="D23" s="2" t="str">
        <f>"06613.HK"</f>
        <v>06613.HK</v>
      </c>
      <c r="E23" s="3" t="s">
        <v>118</v>
      </c>
      <c r="F23" s="3" t="s">
        <v>41</v>
      </c>
      <c r="G23" s="3" t="s">
        <v>124</v>
      </c>
      <c r="H23" s="4" t="s">
        <v>133</v>
      </c>
      <c r="I23" s="4" t="s">
        <v>134</v>
      </c>
      <c r="J23" s="4" t="s">
        <v>135</v>
      </c>
      <c r="K23" s="5">
        <v>28.28</v>
      </c>
      <c r="L23" s="6">
        <v>0.0737</v>
      </c>
      <c r="M23" s="7" t="s">
        <v>24</v>
      </c>
      <c r="N23" s="7" t="s">
        <v>25</v>
      </c>
      <c r="O23" s="7" t="s">
        <v>26</v>
      </c>
      <c r="P23" s="4" t="s">
        <v>136</v>
      </c>
    </row>
    <row r="24" ht="29" spans="1:16">
      <c r="A24" s="2" t="s">
        <v>85</v>
      </c>
      <c r="B24" s="2" t="s">
        <v>123</v>
      </c>
      <c r="C24" s="3">
        <v>4</v>
      </c>
      <c r="D24" s="2" t="str">
        <f>TEXT(600114,"000000")</f>
        <v>600114</v>
      </c>
      <c r="E24" s="3" t="s">
        <v>137</v>
      </c>
      <c r="F24" s="3" t="s">
        <v>19</v>
      </c>
      <c r="G24" s="3" t="s">
        <v>124</v>
      </c>
      <c r="H24" s="4" t="s">
        <v>138</v>
      </c>
      <c r="I24" s="4" t="s">
        <v>139</v>
      </c>
      <c r="J24" s="4" t="s">
        <v>140</v>
      </c>
      <c r="K24" s="5">
        <v>43.24</v>
      </c>
      <c r="L24" s="6">
        <v>0.021</v>
      </c>
      <c r="M24" s="7" t="s">
        <v>24</v>
      </c>
      <c r="N24" s="7" t="s">
        <v>25</v>
      </c>
      <c r="O24" s="7" t="s">
        <v>26</v>
      </c>
      <c r="P24" s="4" t="s">
        <v>141</v>
      </c>
    </row>
    <row r="25" ht="29" spans="1:16">
      <c r="A25" s="2" t="s">
        <v>85</v>
      </c>
      <c r="B25" s="2" t="s">
        <v>123</v>
      </c>
      <c r="C25" s="3">
        <v>5</v>
      </c>
      <c r="D25" s="2" t="str">
        <f>TEXT(300058,"000000")</f>
        <v>300058</v>
      </c>
      <c r="E25" s="3" t="s">
        <v>142</v>
      </c>
      <c r="F25" s="3" t="s">
        <v>19</v>
      </c>
      <c r="G25" s="3" t="s">
        <v>124</v>
      </c>
      <c r="H25" s="4" t="s">
        <v>143</v>
      </c>
      <c r="I25" s="4" t="s">
        <v>144</v>
      </c>
      <c r="J25" s="4" t="s">
        <v>145</v>
      </c>
      <c r="K25" s="5">
        <v>14.95</v>
      </c>
      <c r="L25" s="6">
        <v>-0.0086</v>
      </c>
      <c r="M25" s="7" t="s">
        <v>25</v>
      </c>
      <c r="N25" s="7" t="s">
        <v>24</v>
      </c>
      <c r="O25" s="7" t="s">
        <v>51</v>
      </c>
      <c r="P25" s="4" t="s">
        <v>146</v>
      </c>
    </row>
    <row r="26" ht="29" spans="1:16">
      <c r="A26" s="2" t="s">
        <v>85</v>
      </c>
      <c r="B26" s="2" t="s">
        <v>123</v>
      </c>
      <c r="C26" s="3">
        <v>6</v>
      </c>
      <c r="D26" s="2" t="str">
        <f>TEXT(600176,"000000")</f>
        <v>600176</v>
      </c>
      <c r="E26" s="3" t="s">
        <v>108</v>
      </c>
      <c r="F26" s="3" t="s">
        <v>19</v>
      </c>
      <c r="G26" s="3" t="s">
        <v>147</v>
      </c>
      <c r="H26" s="4" t="s">
        <v>148</v>
      </c>
      <c r="I26" s="4" t="s">
        <v>149</v>
      </c>
      <c r="J26" s="4" t="s">
        <v>150</v>
      </c>
      <c r="K26" s="5">
        <v>54.6</v>
      </c>
      <c r="L26" s="6">
        <v>0.0999</v>
      </c>
      <c r="M26" s="7" t="s">
        <v>24</v>
      </c>
      <c r="N26" s="7" t="s">
        <v>25</v>
      </c>
      <c r="O26" s="7" t="s">
        <v>26</v>
      </c>
      <c r="P26" s="4" t="s">
        <v>151</v>
      </c>
    </row>
    <row r="27" ht="29" spans="1:16">
      <c r="A27" s="2" t="s">
        <v>123</v>
      </c>
      <c r="B27" s="2" t="s">
        <v>152</v>
      </c>
      <c r="C27" s="3">
        <v>1</v>
      </c>
      <c r="D27" s="2" t="str">
        <f>TEXT(2837,"000000")</f>
        <v>002837</v>
      </c>
      <c r="E27" s="3" t="s">
        <v>98</v>
      </c>
      <c r="F27" s="3" t="s">
        <v>19</v>
      </c>
      <c r="G27" s="3" t="s">
        <v>20</v>
      </c>
      <c r="H27" s="4" t="s">
        <v>153</v>
      </c>
      <c r="I27" s="4" t="s">
        <v>154</v>
      </c>
      <c r="J27" s="4" t="s">
        <v>155</v>
      </c>
      <c r="K27" s="5">
        <v>74.37</v>
      </c>
      <c r="L27" s="6">
        <v>-0.0034</v>
      </c>
      <c r="M27" s="7" t="s">
        <v>24</v>
      </c>
      <c r="N27" s="7" t="s">
        <v>25</v>
      </c>
      <c r="O27" s="7" t="s">
        <v>38</v>
      </c>
      <c r="P27" s="4" t="s">
        <v>156</v>
      </c>
    </row>
    <row r="28" ht="29" spans="1:16">
      <c r="A28" s="2" t="s">
        <v>123</v>
      </c>
      <c r="B28" s="2" t="s">
        <v>152</v>
      </c>
      <c r="C28" s="3">
        <v>2</v>
      </c>
      <c r="D28" s="2" t="str">
        <f>TEXT(600522,"000000")</f>
        <v>600522</v>
      </c>
      <c r="E28" s="3" t="s">
        <v>113</v>
      </c>
      <c r="F28" s="3" t="s">
        <v>19</v>
      </c>
      <c r="G28" s="3" t="s">
        <v>47</v>
      </c>
      <c r="H28" s="4" t="s">
        <v>157</v>
      </c>
      <c r="I28" s="4" t="s">
        <v>158</v>
      </c>
      <c r="J28" s="4" t="s">
        <v>159</v>
      </c>
      <c r="K28" s="5">
        <v>56.55</v>
      </c>
      <c r="L28" s="6">
        <v>0.0299</v>
      </c>
      <c r="M28" s="7" t="s">
        <v>24</v>
      </c>
      <c r="N28" s="7" t="s">
        <v>25</v>
      </c>
      <c r="O28" s="7" t="s">
        <v>26</v>
      </c>
      <c r="P28" s="4" t="s">
        <v>160</v>
      </c>
    </row>
    <row r="29" ht="29" spans="1:16">
      <c r="A29" s="2" t="s">
        <v>123</v>
      </c>
      <c r="B29" s="2" t="s">
        <v>152</v>
      </c>
      <c r="C29" s="3">
        <v>3</v>
      </c>
      <c r="D29" s="2" t="str">
        <f>"06613.HK"</f>
        <v>06613.HK</v>
      </c>
      <c r="E29" s="3" t="s">
        <v>118</v>
      </c>
      <c r="F29" s="3" t="s">
        <v>41</v>
      </c>
      <c r="G29" s="3" t="s">
        <v>34</v>
      </c>
      <c r="H29" s="4" t="s">
        <v>161</v>
      </c>
      <c r="I29" s="4" t="s">
        <v>162</v>
      </c>
      <c r="J29" s="4" t="s">
        <v>163</v>
      </c>
      <c r="K29" s="5">
        <v>29.96</v>
      </c>
      <c r="L29" s="6">
        <v>0.0594</v>
      </c>
      <c r="M29" s="7" t="s">
        <v>24</v>
      </c>
      <c r="N29" s="7" t="s">
        <v>25</v>
      </c>
      <c r="O29" s="7" t="s">
        <v>26</v>
      </c>
      <c r="P29" s="4" t="s">
        <v>164</v>
      </c>
    </row>
    <row r="30" ht="29" spans="1:16">
      <c r="A30" s="2" t="s">
        <v>123</v>
      </c>
      <c r="B30" s="2" t="s">
        <v>152</v>
      </c>
      <c r="C30" s="3">
        <v>4</v>
      </c>
      <c r="D30" s="2" t="str">
        <f>TEXT(2436,"000000")</f>
        <v>002436</v>
      </c>
      <c r="E30" s="3" t="s">
        <v>165</v>
      </c>
      <c r="F30" s="3" t="s">
        <v>19</v>
      </c>
      <c r="G30" s="3" t="s">
        <v>34</v>
      </c>
      <c r="H30" s="4" t="s">
        <v>166</v>
      </c>
      <c r="I30" s="4" t="s">
        <v>167</v>
      </c>
      <c r="J30" s="4" t="s">
        <v>168</v>
      </c>
      <c r="K30" s="5">
        <v>52.06</v>
      </c>
      <c r="L30" s="6">
        <v>0.0891</v>
      </c>
      <c r="M30" s="7" t="s">
        <v>24</v>
      </c>
      <c r="N30" s="7" t="s">
        <v>25</v>
      </c>
      <c r="O30" s="7" t="s">
        <v>26</v>
      </c>
      <c r="P30" s="4" t="s">
        <v>169</v>
      </c>
    </row>
    <row r="31" ht="29" spans="1:16">
      <c r="A31" s="2" t="s">
        <v>123</v>
      </c>
      <c r="B31" s="2" t="s">
        <v>152</v>
      </c>
      <c r="C31" s="3">
        <v>5</v>
      </c>
      <c r="D31" s="2" t="str">
        <f>TEXT(636,"000000")</f>
        <v>000636</v>
      </c>
      <c r="E31" s="3" t="s">
        <v>170</v>
      </c>
      <c r="F31" s="3" t="s">
        <v>19</v>
      </c>
      <c r="G31" s="3" t="s">
        <v>47</v>
      </c>
      <c r="H31" s="4" t="s">
        <v>171</v>
      </c>
      <c r="I31" s="4" t="s">
        <v>172</v>
      </c>
      <c r="J31" s="4" t="s">
        <v>173</v>
      </c>
      <c r="K31" s="5">
        <v>74.6</v>
      </c>
      <c r="L31" s="6">
        <v>0.0073</v>
      </c>
      <c r="M31" s="7" t="s">
        <v>24</v>
      </c>
      <c r="N31" s="7" t="s">
        <v>25</v>
      </c>
      <c r="O31" s="7" t="s">
        <v>26</v>
      </c>
      <c r="P31" s="4" t="s">
        <v>174</v>
      </c>
    </row>
    <row r="32" ht="29" spans="1:16">
      <c r="A32" s="2" t="s">
        <v>123</v>
      </c>
      <c r="B32" s="2" t="s">
        <v>152</v>
      </c>
      <c r="C32" s="3">
        <v>6</v>
      </c>
      <c r="D32" s="2" t="str">
        <f>TEXT(2156,"000000")</f>
        <v>002156</v>
      </c>
      <c r="E32" s="3" t="s">
        <v>175</v>
      </c>
      <c r="F32" s="3" t="s">
        <v>19</v>
      </c>
      <c r="G32" s="3" t="s">
        <v>34</v>
      </c>
      <c r="H32" s="4" t="s">
        <v>176</v>
      </c>
      <c r="I32" s="4" t="s">
        <v>177</v>
      </c>
      <c r="J32" s="4" t="s">
        <v>178</v>
      </c>
      <c r="K32" s="5">
        <v>68.27</v>
      </c>
      <c r="L32" s="6">
        <v>0.0156</v>
      </c>
      <c r="M32" s="7" t="s">
        <v>24</v>
      </c>
      <c r="N32" s="7" t="s">
        <v>25</v>
      </c>
      <c r="O32" s="7" t="s">
        <v>26</v>
      </c>
      <c r="P32" s="4" t="s">
        <v>179</v>
      </c>
    </row>
    <row r="33" ht="29" spans="1:16">
      <c r="A33" s="2" t="s">
        <v>123</v>
      </c>
      <c r="B33" s="2" t="s">
        <v>152</v>
      </c>
      <c r="C33" s="3">
        <v>7</v>
      </c>
      <c r="D33" s="2" t="str">
        <f>TEXT(600114,"000000")</f>
        <v>600114</v>
      </c>
      <c r="E33" s="3" t="s">
        <v>137</v>
      </c>
      <c r="F33" s="3" t="s">
        <v>19</v>
      </c>
      <c r="G33" s="3" t="s">
        <v>20</v>
      </c>
      <c r="H33" s="4" t="s">
        <v>180</v>
      </c>
      <c r="I33" s="4" t="s">
        <v>181</v>
      </c>
      <c r="J33" s="4" t="s">
        <v>182</v>
      </c>
      <c r="K33" s="5">
        <v>43.85</v>
      </c>
      <c r="L33" s="6">
        <v>0.0141</v>
      </c>
      <c r="M33" s="7" t="s">
        <v>24</v>
      </c>
      <c r="N33" s="7" t="s">
        <v>25</v>
      </c>
      <c r="O33" s="7" t="s">
        <v>26</v>
      </c>
      <c r="P33" s="4" t="s">
        <v>183</v>
      </c>
    </row>
  </sheetData>
  <conditionalFormatting sqref="O2:O33">
    <cfRule type="containsText" dxfId="0" priority="1" operator="between" text="命中">
      <formula>NOT(ISERROR(SEARCH("命中",O2)))</formula>
    </cfRule>
    <cfRule type="containsText" dxfId="1" priority="2" operator="between" text="部分命中">
      <formula>NOT(ISERROR(SEARCH("部分命中",O2)))</formula>
    </cfRule>
    <cfRule type="containsText" dxfId="2" priority="3" operator="between" text="未命中">
      <formula>NOT(ISERROR(SEARCH("未命中",O2)))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芣倣棄</cp:lastModifiedBy>
  <dcterms:created xsi:type="dcterms:W3CDTF">2026-06-18T14:17:50Z</dcterms:created>
  <dcterms:modified xsi:type="dcterms:W3CDTF">2026-06-18T14:18:51Z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94ED8A38676946BB8E04C795802870D2_12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